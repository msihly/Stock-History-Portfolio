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Mohamed\Documents\School Files\College\(18-19) SEM 2\CIS 3367\Project\"/>
    </mc:Choice>
  </mc:AlternateContent>
  <bookViews>
    <workbookView xWindow="0" yWindow="0" windowWidth="22260" windowHeight="12645"/>
  </bookViews>
  <sheets>
    <sheet name="AAPL" sheetId="13" r:id="rId1"/>
    <sheet name="AMD" sheetId="20" r:id="rId2"/>
    <sheet name="INTC" sheetId="21" r:id="rId3"/>
    <sheet name="NVDA" sheetId="22" r:id="rId4"/>
    <sheet name="QCOM" sheetId="23" r:id="rId5"/>
    <sheet name="All Closings" sheetId="24" r:id="rId6"/>
    <sheet name="All Closings - Pivot" sheetId="25" r:id="rId7"/>
    <sheet name="Lists" sheetId="31" state="hidden" r:id="rId8"/>
    <sheet name="Portfolio Analysis" sheetId="8" r:id="rId9"/>
    <sheet name="Scenario Summary" sheetId="30" r:id="rId10"/>
  </sheets>
  <definedNames>
    <definedName name="Company1">AAPL!$E$1</definedName>
    <definedName name="Company1_Num_of_Shares">'Portfolio Analysis'!$D$2</definedName>
    <definedName name="Company2">AMD!$E$1</definedName>
    <definedName name="Company2_Num_of_Shares">'Portfolio Analysis'!$D$3</definedName>
    <definedName name="Company3">INTC!$E$1</definedName>
    <definedName name="Company3_Num_of_Shares">'Portfolio Analysis'!$D$4</definedName>
    <definedName name="Company4">NVDA!$E$1</definedName>
    <definedName name="Company4_Num_of_Shares">'Portfolio Analysis'!$D$5</definedName>
    <definedName name="Company5">QCOM!$E$1</definedName>
    <definedName name="Company5_Num_of_Shares">'Portfolio Analysis'!$D$6</definedName>
    <definedName name="ScenariosList">OFFSET(Lists!$A$3, 0, 0, COUNTA(Lists!$A:$A), 1)</definedName>
    <definedName name="solver_adj" localSheetId="8" hidden="1">'Portfolio Analysis'!$D$2:$D$6</definedName>
    <definedName name="solver_cvg" localSheetId="8" hidden="1">0.0001</definedName>
    <definedName name="solver_drv" localSheetId="8" hidden="1">1</definedName>
    <definedName name="solver_eng" localSheetId="8" hidden="1">1</definedName>
    <definedName name="solver_est" localSheetId="8" hidden="1">1</definedName>
    <definedName name="solver_itr" localSheetId="8" hidden="1">2147483647</definedName>
    <definedName name="solver_lhs1" localSheetId="8" hidden="1">'Portfolio Analysis'!$D$2:$D$6</definedName>
    <definedName name="solver_lhs2" localSheetId="8" hidden="1">'Portfolio Analysis'!$D$2:$D$6</definedName>
    <definedName name="solver_lhs3" localSheetId="8" hidden="1">'Portfolio Analysis'!$E$9</definedName>
    <definedName name="solver_lhs4" localSheetId="8" hidden="1">'Portfolio Analysis'!$D$2:$D$6</definedName>
    <definedName name="solver_lin" localSheetId="8" hidden="1">2</definedName>
    <definedName name="solver_mip" localSheetId="8" hidden="1">2147483647</definedName>
    <definedName name="solver_mni" localSheetId="8" hidden="1">30</definedName>
    <definedName name="solver_mrt" localSheetId="8" hidden="1">0.075</definedName>
    <definedName name="solver_msl" localSheetId="8" hidden="1">2</definedName>
    <definedName name="solver_neg" localSheetId="8" hidden="1">1</definedName>
    <definedName name="solver_nod" localSheetId="8" hidden="1">2147483647</definedName>
    <definedName name="solver_num" localSheetId="8" hidden="1">4</definedName>
    <definedName name="solver_nwt" localSheetId="8" hidden="1">1</definedName>
    <definedName name="solver_opt" localSheetId="8" hidden="1">'Portfolio Analysis'!$G$9</definedName>
    <definedName name="solver_pre" localSheetId="8" hidden="1">0.000001</definedName>
    <definedName name="solver_rbv" localSheetId="8" hidden="1">1</definedName>
    <definedName name="solver_rel1" localSheetId="8" hidden="1">3</definedName>
    <definedName name="solver_rel2" localSheetId="8" hidden="1">1</definedName>
    <definedName name="solver_rel3" localSheetId="8" hidden="1">1</definedName>
    <definedName name="solver_rel4" localSheetId="8" hidden="1">4</definedName>
    <definedName name="solver_rhs1" localSheetId="8" hidden="1">50</definedName>
    <definedName name="solver_rhs2" localSheetId="8" hidden="1">1000</definedName>
    <definedName name="solver_rhs3" localSheetId="8" hidden="1">100000</definedName>
    <definedName name="solver_rhs4" localSheetId="8" hidden="1">integer</definedName>
    <definedName name="solver_rlx" localSheetId="8" hidden="1">2</definedName>
    <definedName name="solver_rsd" localSheetId="8" hidden="1">0</definedName>
    <definedName name="solver_scl" localSheetId="8" hidden="1">1</definedName>
    <definedName name="solver_sho" localSheetId="8" hidden="1">2</definedName>
    <definedName name="solver_ssz" localSheetId="8" hidden="1">100</definedName>
    <definedName name="solver_tim" localSheetId="8" hidden="1">2147483647</definedName>
    <definedName name="solver_tol" localSheetId="8" hidden="1">0.01</definedName>
    <definedName name="solver_typ" localSheetId="8" hidden="1">1</definedName>
    <definedName name="solver_val" localSheetId="8" hidden="1">0</definedName>
    <definedName name="solver_ver" localSheetId="8" hidden="1">3</definedName>
    <definedName name="Total_Invested">Analysis[Total $ Invested]</definedName>
    <definedName name="Total_Profit">Analysis[Total Profit (Loss)]</definedName>
    <definedName name="Total_ROI">Analysis[Total ROI]</definedName>
  </definedNames>
  <calcPr calcId="162913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8" i="8" l="1"/>
  <c r="C18" i="8"/>
  <c r="B18" i="8"/>
  <c r="A18" i="8"/>
  <c r="D17" i="8"/>
  <c r="C17" i="8"/>
  <c r="B17" i="8"/>
  <c r="A17" i="8"/>
  <c r="D16" i="8"/>
  <c r="D16" i="8" a="1"/>
  <c r="C16" i="8"/>
  <c r="C16" i="8" a="1"/>
  <c r="B15" i="8"/>
  <c r="B15" i="8" a="1"/>
  <c r="D14" i="8"/>
  <c r="D14" i="8" a="1"/>
  <c r="B14" i="8"/>
  <c r="B14" i="8" a="1"/>
  <c r="A14" i="8"/>
  <c r="A14" i="8" a="1"/>
  <c r="D13" i="8"/>
  <c r="D13" i="8" a="1"/>
  <c r="C13" i="8"/>
  <c r="C13" i="8" a="1"/>
  <c r="B13" i="8"/>
  <c r="B13" i="8" a="1"/>
  <c r="A13" i="8"/>
  <c r="A13" i="8" a="1"/>
  <c r="D12" i="8"/>
  <c r="C12" i="8"/>
  <c r="B12" i="8"/>
  <c r="A12" i="8"/>
  <c r="A6" i="8"/>
  <c r="A5" i="8"/>
  <c r="A4" i="8"/>
  <c r="A3" i="8"/>
  <c r="A2" i="8"/>
  <c r="F254" i="24"/>
  <c r="E254" i="24"/>
  <c r="D254" i="24"/>
  <c r="C254" i="24"/>
  <c r="B254" i="24"/>
  <c r="F253" i="24"/>
  <c r="E253" i="24"/>
  <c r="D253" i="24"/>
  <c r="C253" i="24"/>
  <c r="B253" i="24"/>
  <c r="F252" i="24"/>
  <c r="E252" i="24"/>
  <c r="D252" i="24"/>
  <c r="C252" i="24"/>
  <c r="B252" i="24"/>
  <c r="F251" i="24"/>
  <c r="E251" i="24"/>
  <c r="D251" i="24"/>
  <c r="C251" i="24"/>
  <c r="B251" i="24"/>
  <c r="F250" i="24"/>
  <c r="E250" i="24"/>
  <c r="D250" i="24"/>
  <c r="C250" i="24"/>
  <c r="B250" i="24"/>
  <c r="F249" i="24"/>
  <c r="E249" i="24"/>
  <c r="D249" i="24"/>
  <c r="C249" i="24"/>
  <c r="B249" i="24"/>
  <c r="F248" i="24"/>
  <c r="E248" i="24"/>
  <c r="D248" i="24"/>
  <c r="C248" i="24"/>
  <c r="B248" i="24"/>
  <c r="F247" i="24"/>
  <c r="E247" i="24"/>
  <c r="D247" i="24"/>
  <c r="C247" i="24"/>
  <c r="B247" i="24"/>
  <c r="F246" i="24"/>
  <c r="E246" i="24"/>
  <c r="D246" i="24"/>
  <c r="C246" i="24"/>
  <c r="B246" i="24"/>
  <c r="F245" i="24"/>
  <c r="E245" i="24"/>
  <c r="D245" i="24"/>
  <c r="C245" i="24"/>
  <c r="B245" i="24"/>
  <c r="F244" i="24"/>
  <c r="E244" i="24"/>
  <c r="D244" i="24"/>
  <c r="C244" i="24"/>
  <c r="B244" i="24"/>
  <c r="F243" i="24"/>
  <c r="E243" i="24"/>
  <c r="D243" i="24"/>
  <c r="C243" i="24"/>
  <c r="B243" i="24"/>
  <c r="F242" i="24"/>
  <c r="E242" i="24"/>
  <c r="D242" i="24"/>
  <c r="C242" i="24"/>
  <c r="B242" i="24"/>
  <c r="F241" i="24"/>
  <c r="E241" i="24"/>
  <c r="D241" i="24"/>
  <c r="C241" i="24"/>
  <c r="B241" i="24"/>
  <c r="F240" i="24"/>
  <c r="E240" i="24"/>
  <c r="D240" i="24"/>
  <c r="C240" i="24"/>
  <c r="B240" i="24"/>
  <c r="F239" i="24"/>
  <c r="E239" i="24"/>
  <c r="D239" i="24"/>
  <c r="C239" i="24"/>
  <c r="B239" i="24"/>
  <c r="F238" i="24"/>
  <c r="E238" i="24"/>
  <c r="D238" i="24"/>
  <c r="C238" i="24"/>
  <c r="B238" i="24"/>
  <c r="F237" i="24"/>
  <c r="E237" i="24"/>
  <c r="D237" i="24"/>
  <c r="C237" i="24"/>
  <c r="B237" i="24"/>
  <c r="F236" i="24"/>
  <c r="E236" i="24"/>
  <c r="D236" i="24"/>
  <c r="C236" i="24"/>
  <c r="B236" i="24"/>
  <c r="F235" i="24"/>
  <c r="E235" i="24"/>
  <c r="D235" i="24"/>
  <c r="C235" i="24"/>
  <c r="B235" i="24"/>
  <c r="F234" i="24"/>
  <c r="E234" i="24"/>
  <c r="D234" i="24"/>
  <c r="C234" i="24"/>
  <c r="B234" i="24"/>
  <c r="F233" i="24"/>
  <c r="E233" i="24"/>
  <c r="D233" i="24"/>
  <c r="C233" i="24"/>
  <c r="B233" i="24"/>
  <c r="F232" i="24"/>
  <c r="E232" i="24"/>
  <c r="D232" i="24"/>
  <c r="C232" i="24"/>
  <c r="B232" i="24"/>
  <c r="F231" i="24"/>
  <c r="E231" i="24"/>
  <c r="D231" i="24"/>
  <c r="C231" i="24"/>
  <c r="B231" i="24"/>
  <c r="F230" i="24"/>
  <c r="E230" i="24"/>
  <c r="D230" i="24"/>
  <c r="C230" i="24"/>
  <c r="B230" i="24"/>
  <c r="F229" i="24"/>
  <c r="E229" i="24"/>
  <c r="D229" i="24"/>
  <c r="C229" i="24"/>
  <c r="B229" i="24"/>
  <c r="F228" i="24"/>
  <c r="E228" i="24"/>
  <c r="D228" i="24"/>
  <c r="C228" i="24"/>
  <c r="B228" i="24"/>
  <c r="F227" i="24"/>
  <c r="E227" i="24"/>
  <c r="D227" i="24"/>
  <c r="C227" i="24"/>
  <c r="B227" i="24"/>
  <c r="F226" i="24"/>
  <c r="E226" i="24"/>
  <c r="D226" i="24"/>
  <c r="C226" i="24"/>
  <c r="B226" i="24"/>
  <c r="F225" i="24"/>
  <c r="E225" i="24"/>
  <c r="D225" i="24"/>
  <c r="C225" i="24"/>
  <c r="B225" i="24"/>
  <c r="F224" i="24"/>
  <c r="E224" i="24"/>
  <c r="D224" i="24"/>
  <c r="C224" i="24"/>
  <c r="B224" i="24"/>
  <c r="F223" i="24"/>
  <c r="E223" i="24"/>
  <c r="D223" i="24"/>
  <c r="C223" i="24"/>
  <c r="B223" i="24"/>
  <c r="F222" i="24"/>
  <c r="E222" i="24"/>
  <c r="D222" i="24"/>
  <c r="C222" i="24"/>
  <c r="B222" i="24"/>
  <c r="F221" i="24"/>
  <c r="E221" i="24"/>
  <c r="D221" i="24"/>
  <c r="C221" i="24"/>
  <c r="B221" i="24"/>
  <c r="F220" i="24"/>
  <c r="E220" i="24"/>
  <c r="D220" i="24"/>
  <c r="C220" i="24"/>
  <c r="B220" i="24"/>
  <c r="F219" i="24"/>
  <c r="E219" i="24"/>
  <c r="D219" i="24"/>
  <c r="C219" i="24"/>
  <c r="B219" i="24"/>
  <c r="F218" i="24"/>
  <c r="E218" i="24"/>
  <c r="D218" i="24"/>
  <c r="C218" i="24"/>
  <c r="B218" i="24"/>
  <c r="F217" i="24"/>
  <c r="E217" i="24"/>
  <c r="D217" i="24"/>
  <c r="C217" i="24"/>
  <c r="B217" i="24"/>
  <c r="F216" i="24"/>
  <c r="E216" i="24"/>
  <c r="D216" i="24"/>
  <c r="C216" i="24"/>
  <c r="B216" i="24"/>
  <c r="F215" i="24"/>
  <c r="E215" i="24"/>
  <c r="D215" i="24"/>
  <c r="C215" i="24"/>
  <c r="B215" i="24"/>
  <c r="F214" i="24"/>
  <c r="E214" i="24"/>
  <c r="D214" i="24"/>
  <c r="C214" i="24"/>
  <c r="B214" i="24"/>
  <c r="F213" i="24"/>
  <c r="E213" i="24"/>
  <c r="D213" i="24"/>
  <c r="C213" i="24"/>
  <c r="B213" i="24"/>
  <c r="F212" i="24"/>
  <c r="E212" i="24"/>
  <c r="D212" i="24"/>
  <c r="C212" i="24"/>
  <c r="B212" i="24"/>
  <c r="F211" i="24"/>
  <c r="E211" i="24"/>
  <c r="D211" i="24"/>
  <c r="C211" i="24"/>
  <c r="B211" i="24"/>
  <c r="F210" i="24"/>
  <c r="E210" i="24"/>
  <c r="D210" i="24"/>
  <c r="C210" i="24"/>
  <c r="B210" i="24"/>
  <c r="F209" i="24"/>
  <c r="E209" i="24"/>
  <c r="D209" i="24"/>
  <c r="C209" i="24"/>
  <c r="B209" i="24"/>
  <c r="F208" i="24"/>
  <c r="E208" i="24"/>
  <c r="D208" i="24"/>
  <c r="C208" i="24"/>
  <c r="B208" i="24"/>
  <c r="F207" i="24"/>
  <c r="E207" i="24"/>
  <c r="D207" i="24"/>
  <c r="C207" i="24"/>
  <c r="B207" i="24"/>
  <c r="F206" i="24"/>
  <c r="E206" i="24"/>
  <c r="D206" i="24"/>
  <c r="C206" i="24"/>
  <c r="B206" i="24"/>
  <c r="F205" i="24"/>
  <c r="E205" i="24"/>
  <c r="D205" i="24"/>
  <c r="C205" i="24"/>
  <c r="B205" i="24"/>
  <c r="F204" i="24"/>
  <c r="E204" i="24"/>
  <c r="D204" i="24"/>
  <c r="C204" i="24"/>
  <c r="B204" i="24"/>
  <c r="F203" i="24"/>
  <c r="E203" i="24"/>
  <c r="D203" i="24"/>
  <c r="C203" i="24"/>
  <c r="B203" i="24"/>
  <c r="F202" i="24"/>
  <c r="E202" i="24"/>
  <c r="D202" i="24"/>
  <c r="C202" i="24"/>
  <c r="B202" i="24"/>
  <c r="F201" i="24"/>
  <c r="E201" i="24"/>
  <c r="D201" i="24"/>
  <c r="C201" i="24"/>
  <c r="B201" i="24"/>
  <c r="F200" i="24"/>
  <c r="E200" i="24"/>
  <c r="D200" i="24"/>
  <c r="C200" i="24"/>
  <c r="B200" i="24"/>
  <c r="F199" i="24"/>
  <c r="E199" i="24"/>
  <c r="D199" i="24"/>
  <c r="C199" i="24"/>
  <c r="B199" i="24"/>
  <c r="F198" i="24"/>
  <c r="E198" i="24"/>
  <c r="D198" i="24"/>
  <c r="C198" i="24"/>
  <c r="B198" i="24"/>
  <c r="F197" i="24"/>
  <c r="E197" i="24"/>
  <c r="D197" i="24"/>
  <c r="C197" i="24"/>
  <c r="B197" i="24"/>
  <c r="F196" i="24"/>
  <c r="E196" i="24"/>
  <c r="D196" i="24"/>
  <c r="C196" i="24"/>
  <c r="B196" i="24"/>
  <c r="F195" i="24"/>
  <c r="E195" i="24"/>
  <c r="D195" i="24"/>
  <c r="C195" i="24"/>
  <c r="B195" i="24"/>
  <c r="F194" i="24"/>
  <c r="E194" i="24"/>
  <c r="D194" i="24"/>
  <c r="C194" i="24"/>
  <c r="B194" i="24"/>
  <c r="F193" i="24"/>
  <c r="E193" i="24"/>
  <c r="D193" i="24"/>
  <c r="C193" i="24"/>
  <c r="B193" i="24"/>
  <c r="F192" i="24"/>
  <c r="E192" i="24"/>
  <c r="D192" i="24"/>
  <c r="C192" i="24"/>
  <c r="B192" i="24"/>
  <c r="F191" i="24"/>
  <c r="E191" i="24"/>
  <c r="D191" i="24"/>
  <c r="C191" i="24"/>
  <c r="B191" i="24"/>
  <c r="F190" i="24"/>
  <c r="E190" i="24"/>
  <c r="D190" i="24"/>
  <c r="C190" i="24"/>
  <c r="B190" i="24"/>
  <c r="F189" i="24"/>
  <c r="E189" i="24"/>
  <c r="D189" i="24"/>
  <c r="C189" i="24"/>
  <c r="B189" i="24"/>
  <c r="F188" i="24"/>
  <c r="E188" i="24"/>
  <c r="D188" i="24"/>
  <c r="C188" i="24"/>
  <c r="B188" i="24"/>
  <c r="F187" i="24"/>
  <c r="E187" i="24"/>
  <c r="D187" i="24"/>
  <c r="C187" i="24"/>
  <c r="B187" i="24"/>
  <c r="F186" i="24"/>
  <c r="E186" i="24"/>
  <c r="D186" i="24"/>
  <c r="C186" i="24"/>
  <c r="B186" i="24"/>
  <c r="F185" i="24"/>
  <c r="E185" i="24"/>
  <c r="D185" i="24"/>
  <c r="C185" i="24"/>
  <c r="B185" i="24"/>
  <c r="F184" i="24"/>
  <c r="E184" i="24"/>
  <c r="D184" i="24"/>
  <c r="C184" i="24"/>
  <c r="B184" i="24"/>
  <c r="F183" i="24"/>
  <c r="E183" i="24"/>
  <c r="D183" i="24"/>
  <c r="C183" i="24"/>
  <c r="B183" i="24"/>
  <c r="F182" i="24"/>
  <c r="E182" i="24"/>
  <c r="D182" i="24"/>
  <c r="C182" i="24"/>
  <c r="B182" i="24"/>
  <c r="F181" i="24"/>
  <c r="E181" i="24"/>
  <c r="D181" i="24"/>
  <c r="C181" i="24"/>
  <c r="B181" i="24"/>
  <c r="F180" i="24"/>
  <c r="E180" i="24"/>
  <c r="D180" i="24"/>
  <c r="C180" i="24"/>
  <c r="B180" i="24"/>
  <c r="F179" i="24"/>
  <c r="E179" i="24"/>
  <c r="D179" i="24"/>
  <c r="C179" i="24"/>
  <c r="B179" i="24"/>
  <c r="F178" i="24"/>
  <c r="E178" i="24"/>
  <c r="D178" i="24"/>
  <c r="C178" i="24"/>
  <c r="B178" i="24"/>
  <c r="F177" i="24"/>
  <c r="E177" i="24"/>
  <c r="D177" i="24"/>
  <c r="C177" i="24"/>
  <c r="B177" i="24"/>
  <c r="F176" i="24"/>
  <c r="E176" i="24"/>
  <c r="D176" i="24"/>
  <c r="C176" i="24"/>
  <c r="B176" i="24"/>
  <c r="F175" i="24"/>
  <c r="E175" i="24"/>
  <c r="D175" i="24"/>
  <c r="C175" i="24"/>
  <c r="B175" i="24"/>
  <c r="F174" i="24"/>
  <c r="E174" i="24"/>
  <c r="D174" i="24"/>
  <c r="C174" i="24"/>
  <c r="B174" i="24"/>
  <c r="F173" i="24"/>
  <c r="E173" i="24"/>
  <c r="D173" i="24"/>
  <c r="C173" i="24"/>
  <c r="B173" i="24"/>
  <c r="F172" i="24"/>
  <c r="E172" i="24"/>
  <c r="D172" i="24"/>
  <c r="C172" i="24"/>
  <c r="B172" i="24"/>
  <c r="F171" i="24"/>
  <c r="E171" i="24"/>
  <c r="D171" i="24"/>
  <c r="C171" i="24"/>
  <c r="B171" i="24"/>
  <c r="F170" i="24"/>
  <c r="E170" i="24"/>
  <c r="D170" i="24"/>
  <c r="C170" i="24"/>
  <c r="B170" i="24"/>
  <c r="F169" i="24"/>
  <c r="E169" i="24"/>
  <c r="D169" i="24"/>
  <c r="C169" i="24"/>
  <c r="B169" i="24"/>
  <c r="F168" i="24"/>
  <c r="E168" i="24"/>
  <c r="D168" i="24"/>
  <c r="C168" i="24"/>
  <c r="B168" i="24"/>
  <c r="F167" i="24"/>
  <c r="E167" i="24"/>
  <c r="D167" i="24"/>
  <c r="C167" i="24"/>
  <c r="B167" i="24"/>
  <c r="F166" i="24"/>
  <c r="E166" i="24"/>
  <c r="D166" i="24"/>
  <c r="C166" i="24"/>
  <c r="B166" i="24"/>
  <c r="F165" i="24"/>
  <c r="E165" i="24"/>
  <c r="D165" i="24"/>
  <c r="C165" i="24"/>
  <c r="B165" i="24"/>
  <c r="F164" i="24"/>
  <c r="E164" i="24"/>
  <c r="D164" i="24"/>
  <c r="C164" i="24"/>
  <c r="B164" i="24"/>
  <c r="F163" i="24"/>
  <c r="E163" i="24"/>
  <c r="D163" i="24"/>
  <c r="C163" i="24"/>
  <c r="B163" i="24"/>
  <c r="F162" i="24"/>
  <c r="E162" i="24"/>
  <c r="D162" i="24"/>
  <c r="C162" i="24"/>
  <c r="B162" i="24"/>
  <c r="F161" i="24"/>
  <c r="E161" i="24"/>
  <c r="D161" i="24"/>
  <c r="C161" i="24"/>
  <c r="B161" i="24"/>
  <c r="F160" i="24"/>
  <c r="E160" i="24"/>
  <c r="D160" i="24"/>
  <c r="C160" i="24"/>
  <c r="B160" i="24"/>
  <c r="F159" i="24"/>
  <c r="E159" i="24"/>
  <c r="D159" i="24"/>
  <c r="C159" i="24"/>
  <c r="B159" i="24"/>
  <c r="F158" i="24"/>
  <c r="E158" i="24"/>
  <c r="D158" i="24"/>
  <c r="C158" i="24"/>
  <c r="B158" i="24"/>
  <c r="F157" i="24"/>
  <c r="E157" i="24"/>
  <c r="D157" i="24"/>
  <c r="C157" i="24"/>
  <c r="B157" i="24"/>
  <c r="F156" i="24"/>
  <c r="E156" i="24"/>
  <c r="D156" i="24"/>
  <c r="C156" i="24"/>
  <c r="B156" i="24"/>
  <c r="F155" i="24"/>
  <c r="E155" i="24"/>
  <c r="D155" i="24"/>
  <c r="C155" i="24"/>
  <c r="B155" i="24"/>
  <c r="F154" i="24"/>
  <c r="E154" i="24"/>
  <c r="D154" i="24"/>
  <c r="C154" i="24"/>
  <c r="B154" i="24"/>
  <c r="F153" i="24"/>
  <c r="E153" i="24"/>
  <c r="D153" i="24"/>
  <c r="C153" i="24"/>
  <c r="B153" i="24"/>
  <c r="F152" i="24"/>
  <c r="E152" i="24"/>
  <c r="D152" i="24"/>
  <c r="C152" i="24"/>
  <c r="B152" i="24"/>
  <c r="F151" i="24"/>
  <c r="E151" i="24"/>
  <c r="D151" i="24"/>
  <c r="C151" i="24"/>
  <c r="B151" i="24"/>
  <c r="F150" i="24"/>
  <c r="E150" i="24"/>
  <c r="D150" i="24"/>
  <c r="C150" i="24"/>
  <c r="B150" i="24"/>
  <c r="F149" i="24"/>
  <c r="E149" i="24"/>
  <c r="D149" i="24"/>
  <c r="C149" i="24"/>
  <c r="B149" i="24"/>
  <c r="F148" i="24"/>
  <c r="E148" i="24"/>
  <c r="D148" i="24"/>
  <c r="C148" i="24"/>
  <c r="B148" i="24"/>
  <c r="F147" i="24"/>
  <c r="E147" i="24"/>
  <c r="D147" i="24"/>
  <c r="C147" i="24"/>
  <c r="B147" i="24"/>
  <c r="F146" i="24"/>
  <c r="E146" i="24"/>
  <c r="D146" i="24"/>
  <c r="C146" i="24"/>
  <c r="B146" i="24"/>
  <c r="F145" i="24"/>
  <c r="E145" i="24"/>
  <c r="D145" i="24"/>
  <c r="C145" i="24"/>
  <c r="B145" i="24"/>
  <c r="F144" i="24"/>
  <c r="E144" i="24"/>
  <c r="D144" i="24"/>
  <c r="C144" i="24"/>
  <c r="B144" i="24"/>
  <c r="F143" i="24"/>
  <c r="E143" i="24"/>
  <c r="D143" i="24"/>
  <c r="C143" i="24"/>
  <c r="B143" i="24"/>
  <c r="F142" i="24"/>
  <c r="E142" i="24"/>
  <c r="D142" i="24"/>
  <c r="C142" i="24"/>
  <c r="B142" i="24"/>
  <c r="F141" i="24"/>
  <c r="E141" i="24"/>
  <c r="D141" i="24"/>
  <c r="C141" i="24"/>
  <c r="B141" i="24"/>
  <c r="F140" i="24"/>
  <c r="E140" i="24"/>
  <c r="D140" i="24"/>
  <c r="C140" i="24"/>
  <c r="B140" i="24"/>
  <c r="F139" i="24"/>
  <c r="E139" i="24"/>
  <c r="D139" i="24"/>
  <c r="C139" i="24"/>
  <c r="B139" i="24"/>
  <c r="F138" i="24"/>
  <c r="E138" i="24"/>
  <c r="D138" i="24"/>
  <c r="C138" i="24"/>
  <c r="B138" i="24"/>
  <c r="F137" i="24"/>
  <c r="E137" i="24"/>
  <c r="D137" i="24"/>
  <c r="C137" i="24"/>
  <c r="B137" i="24"/>
  <c r="F136" i="24"/>
  <c r="E136" i="24"/>
  <c r="D136" i="24"/>
  <c r="C136" i="24"/>
  <c r="B136" i="24"/>
  <c r="F135" i="24"/>
  <c r="E135" i="24"/>
  <c r="D135" i="24"/>
  <c r="C135" i="24"/>
  <c r="B135" i="24"/>
  <c r="F134" i="24"/>
  <c r="E134" i="24"/>
  <c r="D134" i="24"/>
  <c r="C134" i="24"/>
  <c r="B134" i="24"/>
  <c r="F133" i="24"/>
  <c r="E133" i="24"/>
  <c r="D133" i="24"/>
  <c r="C133" i="24"/>
  <c r="B133" i="24"/>
  <c r="F132" i="24"/>
  <c r="E132" i="24"/>
  <c r="D132" i="24"/>
  <c r="C132" i="24"/>
  <c r="B132" i="24"/>
  <c r="F131" i="24"/>
  <c r="E131" i="24"/>
  <c r="D131" i="24"/>
  <c r="C131" i="24"/>
  <c r="B131" i="24"/>
  <c r="F130" i="24"/>
  <c r="E130" i="24"/>
  <c r="D130" i="24"/>
  <c r="C130" i="24"/>
  <c r="B130" i="24"/>
  <c r="F129" i="24"/>
  <c r="E129" i="24"/>
  <c r="D129" i="24"/>
  <c r="C129" i="24"/>
  <c r="B129" i="24"/>
  <c r="F128" i="24"/>
  <c r="E128" i="24"/>
  <c r="D128" i="24"/>
  <c r="C128" i="24"/>
  <c r="B128" i="24"/>
  <c r="F127" i="24"/>
  <c r="E127" i="24"/>
  <c r="D127" i="24"/>
  <c r="C127" i="24"/>
  <c r="B127" i="24"/>
  <c r="F126" i="24"/>
  <c r="E126" i="24"/>
  <c r="D126" i="24"/>
  <c r="C126" i="24"/>
  <c r="B126" i="24"/>
  <c r="F125" i="24"/>
  <c r="E125" i="24"/>
  <c r="D125" i="24"/>
  <c r="C125" i="24"/>
  <c r="B125" i="24"/>
  <c r="F124" i="24"/>
  <c r="E124" i="24"/>
  <c r="D124" i="24"/>
  <c r="C124" i="24"/>
  <c r="B124" i="24"/>
  <c r="F123" i="24"/>
  <c r="E123" i="24"/>
  <c r="D123" i="24"/>
  <c r="C123" i="24"/>
  <c r="B123" i="24"/>
  <c r="F122" i="24"/>
  <c r="E122" i="24"/>
  <c r="D122" i="24"/>
  <c r="C122" i="24"/>
  <c r="B122" i="24"/>
  <c r="F121" i="24"/>
  <c r="E121" i="24"/>
  <c r="D121" i="24"/>
  <c r="C121" i="24"/>
  <c r="B121" i="24"/>
  <c r="F120" i="24"/>
  <c r="E120" i="24"/>
  <c r="D120" i="24"/>
  <c r="C120" i="24"/>
  <c r="B120" i="24"/>
  <c r="F119" i="24"/>
  <c r="E119" i="24"/>
  <c r="D119" i="24"/>
  <c r="C119" i="24"/>
  <c r="B119" i="24"/>
  <c r="F118" i="24"/>
  <c r="E118" i="24"/>
  <c r="D118" i="24"/>
  <c r="C118" i="24"/>
  <c r="B118" i="24"/>
  <c r="F117" i="24"/>
  <c r="E117" i="24"/>
  <c r="D117" i="24"/>
  <c r="C117" i="24"/>
  <c r="B117" i="24"/>
  <c r="F116" i="24"/>
  <c r="E116" i="24"/>
  <c r="D116" i="24"/>
  <c r="C116" i="24"/>
  <c r="B116" i="24"/>
  <c r="F115" i="24"/>
  <c r="E115" i="24"/>
  <c r="D115" i="24"/>
  <c r="C115" i="24"/>
  <c r="B115" i="24"/>
  <c r="F114" i="24"/>
  <c r="E114" i="24"/>
  <c r="D114" i="24"/>
  <c r="C114" i="24"/>
  <c r="B114" i="24"/>
  <c r="F113" i="24"/>
  <c r="E113" i="24"/>
  <c r="D113" i="24"/>
  <c r="C113" i="24"/>
  <c r="B113" i="24"/>
  <c r="F112" i="24"/>
  <c r="E112" i="24"/>
  <c r="D112" i="24"/>
  <c r="C112" i="24"/>
  <c r="B112" i="24"/>
  <c r="F111" i="24"/>
  <c r="E111" i="24"/>
  <c r="D111" i="24"/>
  <c r="C111" i="24"/>
  <c r="B111" i="24"/>
  <c r="F110" i="24"/>
  <c r="E110" i="24"/>
  <c r="D110" i="24"/>
  <c r="C110" i="24"/>
  <c r="B110" i="24"/>
  <c r="F109" i="24"/>
  <c r="E109" i="24"/>
  <c r="D109" i="24"/>
  <c r="C109" i="24"/>
  <c r="B109" i="24"/>
  <c r="F108" i="24"/>
  <c r="E108" i="24"/>
  <c r="D108" i="24"/>
  <c r="C108" i="24"/>
  <c r="B108" i="24"/>
  <c r="F107" i="24"/>
  <c r="E107" i="24"/>
  <c r="D107" i="24"/>
  <c r="C107" i="24"/>
  <c r="B107" i="24"/>
  <c r="F106" i="24"/>
  <c r="E106" i="24"/>
  <c r="D106" i="24"/>
  <c r="C106" i="24"/>
  <c r="B106" i="24"/>
  <c r="F105" i="24"/>
  <c r="E105" i="24"/>
  <c r="D105" i="24"/>
  <c r="C105" i="24"/>
  <c r="B105" i="24"/>
  <c r="F104" i="24"/>
  <c r="E104" i="24"/>
  <c r="D104" i="24"/>
  <c r="C104" i="24"/>
  <c r="B104" i="24"/>
  <c r="F103" i="24"/>
  <c r="E103" i="24"/>
  <c r="D103" i="24"/>
  <c r="C103" i="24"/>
  <c r="B103" i="24"/>
  <c r="F102" i="24"/>
  <c r="E102" i="24"/>
  <c r="D102" i="24"/>
  <c r="C102" i="24"/>
  <c r="B102" i="24"/>
  <c r="F101" i="24"/>
  <c r="E101" i="24"/>
  <c r="D101" i="24"/>
  <c r="C101" i="24"/>
  <c r="B101" i="24"/>
  <c r="F100" i="24"/>
  <c r="E100" i="24"/>
  <c r="D100" i="24"/>
  <c r="C100" i="24"/>
  <c r="B100" i="24"/>
  <c r="F99" i="24"/>
  <c r="E99" i="24"/>
  <c r="D99" i="24"/>
  <c r="C99" i="24"/>
  <c r="B99" i="24"/>
  <c r="F98" i="24"/>
  <c r="E98" i="24"/>
  <c r="D98" i="24"/>
  <c r="C98" i="24"/>
  <c r="B98" i="24"/>
  <c r="F97" i="24"/>
  <c r="E97" i="24"/>
  <c r="D97" i="24"/>
  <c r="C97" i="24"/>
  <c r="B97" i="24"/>
  <c r="F96" i="24"/>
  <c r="E96" i="24"/>
  <c r="D96" i="24"/>
  <c r="C96" i="24"/>
  <c r="B96" i="24"/>
  <c r="F95" i="24"/>
  <c r="E95" i="24"/>
  <c r="D95" i="24"/>
  <c r="C95" i="24"/>
  <c r="B95" i="24"/>
  <c r="F94" i="24"/>
  <c r="E94" i="24"/>
  <c r="D94" i="24"/>
  <c r="C94" i="24"/>
  <c r="B94" i="24"/>
  <c r="F93" i="24"/>
  <c r="E93" i="24"/>
  <c r="D93" i="24"/>
  <c r="C93" i="24"/>
  <c r="B93" i="24"/>
  <c r="F92" i="24"/>
  <c r="E92" i="24"/>
  <c r="D92" i="24"/>
  <c r="C92" i="24"/>
  <c r="B92" i="24"/>
  <c r="F91" i="24"/>
  <c r="E91" i="24"/>
  <c r="D91" i="24"/>
  <c r="C91" i="24"/>
  <c r="B91" i="24"/>
  <c r="F90" i="24"/>
  <c r="E90" i="24"/>
  <c r="D90" i="24"/>
  <c r="C90" i="24"/>
  <c r="B90" i="24"/>
  <c r="F89" i="24"/>
  <c r="E89" i="24"/>
  <c r="D89" i="24"/>
  <c r="C89" i="24"/>
  <c r="B89" i="24"/>
  <c r="F88" i="24"/>
  <c r="E88" i="24"/>
  <c r="D88" i="24"/>
  <c r="C88" i="24"/>
  <c r="B88" i="24"/>
  <c r="F87" i="24"/>
  <c r="E87" i="24"/>
  <c r="D87" i="24"/>
  <c r="C87" i="24"/>
  <c r="B87" i="24"/>
  <c r="F86" i="24"/>
  <c r="E86" i="24"/>
  <c r="D86" i="24"/>
  <c r="C86" i="24"/>
  <c r="B86" i="24"/>
  <c r="F85" i="24"/>
  <c r="E85" i="24"/>
  <c r="D85" i="24"/>
  <c r="C85" i="24"/>
  <c r="B85" i="24"/>
  <c r="F84" i="24"/>
  <c r="E84" i="24"/>
  <c r="D84" i="24"/>
  <c r="C84" i="24"/>
  <c r="B84" i="24"/>
  <c r="F83" i="24"/>
  <c r="E83" i="24"/>
  <c r="D83" i="24"/>
  <c r="C83" i="24"/>
  <c r="B83" i="24"/>
  <c r="F82" i="24"/>
  <c r="E82" i="24"/>
  <c r="D82" i="24"/>
  <c r="C82" i="24"/>
  <c r="B82" i="24"/>
  <c r="F81" i="24"/>
  <c r="E81" i="24"/>
  <c r="D81" i="24"/>
  <c r="C81" i="24"/>
  <c r="B81" i="24"/>
  <c r="F80" i="24"/>
  <c r="E80" i="24"/>
  <c r="D80" i="24"/>
  <c r="C80" i="24"/>
  <c r="B80" i="24"/>
  <c r="F79" i="24"/>
  <c r="E79" i="24"/>
  <c r="D79" i="24"/>
  <c r="C79" i="24"/>
  <c r="B79" i="24"/>
  <c r="F78" i="24"/>
  <c r="E78" i="24"/>
  <c r="D78" i="24"/>
  <c r="C78" i="24"/>
  <c r="B78" i="24"/>
  <c r="F77" i="24"/>
  <c r="E77" i="24"/>
  <c r="D77" i="24"/>
  <c r="C77" i="24"/>
  <c r="B77" i="24"/>
  <c r="F76" i="24"/>
  <c r="E76" i="24"/>
  <c r="D76" i="24"/>
  <c r="C76" i="24"/>
  <c r="B76" i="24"/>
  <c r="F75" i="24"/>
  <c r="E75" i="24"/>
  <c r="D75" i="24"/>
  <c r="C75" i="24"/>
  <c r="B75" i="24"/>
  <c r="F74" i="24"/>
  <c r="E74" i="24"/>
  <c r="D74" i="24"/>
  <c r="C74" i="24"/>
  <c r="B74" i="24"/>
  <c r="F73" i="24"/>
  <c r="E73" i="24"/>
  <c r="D73" i="24"/>
  <c r="C73" i="24"/>
  <c r="B73" i="24"/>
  <c r="F72" i="24"/>
  <c r="E72" i="24"/>
  <c r="D72" i="24"/>
  <c r="C72" i="24"/>
  <c r="B72" i="24"/>
  <c r="F71" i="24"/>
  <c r="E71" i="24"/>
  <c r="D71" i="24"/>
  <c r="C71" i="24"/>
  <c r="B71" i="24"/>
  <c r="F70" i="24"/>
  <c r="E70" i="24"/>
  <c r="D70" i="24"/>
  <c r="C70" i="24"/>
  <c r="B70" i="24"/>
  <c r="F69" i="24"/>
  <c r="E69" i="24"/>
  <c r="D69" i="24"/>
  <c r="C69" i="24"/>
  <c r="B69" i="24"/>
  <c r="F68" i="24"/>
  <c r="E68" i="24"/>
  <c r="D68" i="24"/>
  <c r="C68" i="24"/>
  <c r="B68" i="24"/>
  <c r="F67" i="24"/>
  <c r="E67" i="24"/>
  <c r="D67" i="24"/>
  <c r="C67" i="24"/>
  <c r="B67" i="24"/>
  <c r="F66" i="24"/>
  <c r="E66" i="24"/>
  <c r="D66" i="24"/>
  <c r="C66" i="24"/>
  <c r="B66" i="24"/>
  <c r="F65" i="24"/>
  <c r="E65" i="24"/>
  <c r="D65" i="24"/>
  <c r="C65" i="24"/>
  <c r="B65" i="24"/>
  <c r="F64" i="24"/>
  <c r="E64" i="24"/>
  <c r="D64" i="24"/>
  <c r="C64" i="24"/>
  <c r="B64" i="24"/>
  <c r="F63" i="24"/>
  <c r="E63" i="24"/>
  <c r="D63" i="24"/>
  <c r="C63" i="24"/>
  <c r="B63" i="24"/>
  <c r="F62" i="24"/>
  <c r="E62" i="24"/>
  <c r="D62" i="24"/>
  <c r="C62" i="24"/>
  <c r="B62" i="24"/>
  <c r="F61" i="24"/>
  <c r="E61" i="24"/>
  <c r="D61" i="24"/>
  <c r="C61" i="24"/>
  <c r="B61" i="24"/>
  <c r="F60" i="24"/>
  <c r="E60" i="24"/>
  <c r="D60" i="24"/>
  <c r="C60" i="24"/>
  <c r="B60" i="24"/>
  <c r="F59" i="24"/>
  <c r="E59" i="24"/>
  <c r="D59" i="24"/>
  <c r="C59" i="24"/>
  <c r="B59" i="24"/>
  <c r="F58" i="24"/>
  <c r="E58" i="24"/>
  <c r="D58" i="24"/>
  <c r="C58" i="24"/>
  <c r="B58" i="24"/>
  <c r="F57" i="24"/>
  <c r="E57" i="24"/>
  <c r="D57" i="24"/>
  <c r="C57" i="24"/>
  <c r="B57" i="24"/>
  <c r="F56" i="24"/>
  <c r="E56" i="24"/>
  <c r="D56" i="24"/>
  <c r="C56" i="24"/>
  <c r="B56" i="24"/>
  <c r="F55" i="24"/>
  <c r="E55" i="24"/>
  <c r="D55" i="24"/>
  <c r="C55" i="24"/>
  <c r="B55" i="24"/>
  <c r="F54" i="24"/>
  <c r="E54" i="24"/>
  <c r="D54" i="24"/>
  <c r="C54" i="24"/>
  <c r="B54" i="24"/>
  <c r="F53" i="24"/>
  <c r="E53" i="24"/>
  <c r="D53" i="24"/>
  <c r="C53" i="24"/>
  <c r="B53" i="24"/>
  <c r="F52" i="24"/>
  <c r="E52" i="24"/>
  <c r="D52" i="24"/>
  <c r="C52" i="24"/>
  <c r="B52" i="24"/>
  <c r="F51" i="24"/>
  <c r="E51" i="24"/>
  <c r="D51" i="24"/>
  <c r="C51" i="24"/>
  <c r="B51" i="24"/>
  <c r="F50" i="24"/>
  <c r="E50" i="24"/>
  <c r="D50" i="24"/>
  <c r="C50" i="24"/>
  <c r="B50" i="24"/>
  <c r="F49" i="24"/>
  <c r="E49" i="24"/>
  <c r="D49" i="24"/>
  <c r="C49" i="24"/>
  <c r="B49" i="24"/>
  <c r="F48" i="24"/>
  <c r="E48" i="24"/>
  <c r="D48" i="24"/>
  <c r="C48" i="24"/>
  <c r="B48" i="24"/>
  <c r="F47" i="24"/>
  <c r="E47" i="24"/>
  <c r="D47" i="24"/>
  <c r="C47" i="24"/>
  <c r="B47" i="24"/>
  <c r="F46" i="24"/>
  <c r="E46" i="24"/>
  <c r="D46" i="24"/>
  <c r="C46" i="24"/>
  <c r="B46" i="24"/>
  <c r="F45" i="24"/>
  <c r="E45" i="24"/>
  <c r="D45" i="24"/>
  <c r="C45" i="24"/>
  <c r="B45" i="24"/>
  <c r="F44" i="24"/>
  <c r="E44" i="24"/>
  <c r="D44" i="24"/>
  <c r="C44" i="24"/>
  <c r="B44" i="24"/>
  <c r="F43" i="24"/>
  <c r="E43" i="24"/>
  <c r="D43" i="24"/>
  <c r="C43" i="24"/>
  <c r="B43" i="24"/>
  <c r="F42" i="24"/>
  <c r="E42" i="24"/>
  <c r="D42" i="24"/>
  <c r="C42" i="24"/>
  <c r="B42" i="24"/>
  <c r="F41" i="24"/>
  <c r="E41" i="24"/>
  <c r="D41" i="24"/>
  <c r="C41" i="24"/>
  <c r="B41" i="24"/>
  <c r="F40" i="24"/>
  <c r="E40" i="24"/>
  <c r="D40" i="24"/>
  <c r="C40" i="24"/>
  <c r="B40" i="24"/>
  <c r="F39" i="24"/>
  <c r="E39" i="24"/>
  <c r="D39" i="24"/>
  <c r="C39" i="24"/>
  <c r="B39" i="24"/>
  <c r="F38" i="24"/>
  <c r="E38" i="24"/>
  <c r="D38" i="24"/>
  <c r="C38" i="24"/>
  <c r="B38" i="24"/>
  <c r="F37" i="24"/>
  <c r="E37" i="24"/>
  <c r="D37" i="24"/>
  <c r="C37" i="24"/>
  <c r="B37" i="24"/>
  <c r="F36" i="24"/>
  <c r="E36" i="24"/>
  <c r="D36" i="24"/>
  <c r="C36" i="24"/>
  <c r="B36" i="24"/>
  <c r="F35" i="24"/>
  <c r="E35" i="24"/>
  <c r="D35" i="24"/>
  <c r="C35" i="24"/>
  <c r="B35" i="24"/>
  <c r="F34" i="24"/>
  <c r="E34" i="24"/>
  <c r="D34" i="24"/>
  <c r="C34" i="24"/>
  <c r="B34" i="24"/>
  <c r="F33" i="24"/>
  <c r="E33" i="24"/>
  <c r="D33" i="24"/>
  <c r="C33" i="24"/>
  <c r="B33" i="24"/>
  <c r="F32" i="24"/>
  <c r="E32" i="24"/>
  <c r="D32" i="24"/>
  <c r="C32" i="24"/>
  <c r="B32" i="24"/>
  <c r="F31" i="24"/>
  <c r="E31" i="24"/>
  <c r="D31" i="24"/>
  <c r="C31" i="24"/>
  <c r="B31" i="24"/>
  <c r="F30" i="24"/>
  <c r="E30" i="24"/>
  <c r="D30" i="24"/>
  <c r="C30" i="24"/>
  <c r="B30" i="24"/>
  <c r="F29" i="24"/>
  <c r="E29" i="24"/>
  <c r="D29" i="24"/>
  <c r="C29" i="24"/>
  <c r="B29" i="24"/>
  <c r="F28" i="24"/>
  <c r="E28" i="24"/>
  <c r="D28" i="24"/>
  <c r="C28" i="24"/>
  <c r="B28" i="24"/>
  <c r="F27" i="24"/>
  <c r="E27" i="24"/>
  <c r="D27" i="24"/>
  <c r="C27" i="24"/>
  <c r="B27" i="24"/>
  <c r="F26" i="24"/>
  <c r="E26" i="24"/>
  <c r="D26" i="24"/>
  <c r="C26" i="24"/>
  <c r="B26" i="24"/>
  <c r="F25" i="24"/>
  <c r="E25" i="24"/>
  <c r="D25" i="24"/>
  <c r="C25" i="24"/>
  <c r="B25" i="24"/>
  <c r="F24" i="24"/>
  <c r="E24" i="24"/>
  <c r="D24" i="24"/>
  <c r="C24" i="24"/>
  <c r="B24" i="24"/>
  <c r="F23" i="24"/>
  <c r="E23" i="24"/>
  <c r="D23" i="24"/>
  <c r="C23" i="24"/>
  <c r="B23" i="24"/>
  <c r="F22" i="24"/>
  <c r="E22" i="24"/>
  <c r="D22" i="24"/>
  <c r="C22" i="24"/>
  <c r="B22" i="24"/>
  <c r="F21" i="24"/>
  <c r="E21" i="24"/>
  <c r="D21" i="24"/>
  <c r="C21" i="24"/>
  <c r="B21" i="24"/>
  <c r="F20" i="24"/>
  <c r="E20" i="24"/>
  <c r="D20" i="24"/>
  <c r="C20" i="24"/>
  <c r="B20" i="24"/>
  <c r="F19" i="24"/>
  <c r="E19" i="24"/>
  <c r="D19" i="24"/>
  <c r="C19" i="24"/>
  <c r="B19" i="24"/>
  <c r="F18" i="24"/>
  <c r="E18" i="24"/>
  <c r="D18" i="24"/>
  <c r="C18" i="24"/>
  <c r="B18" i="24"/>
  <c r="F17" i="24"/>
  <c r="E17" i="24"/>
  <c r="D17" i="24"/>
  <c r="C17" i="24"/>
  <c r="B17" i="24"/>
  <c r="F16" i="24"/>
  <c r="E16" i="24"/>
  <c r="D16" i="24"/>
  <c r="C16" i="24"/>
  <c r="B16" i="24"/>
  <c r="F15" i="24"/>
  <c r="E15" i="24"/>
  <c r="D15" i="24"/>
  <c r="C15" i="24"/>
  <c r="B15" i="24"/>
  <c r="F14" i="24"/>
  <c r="E14" i="24"/>
  <c r="D14" i="24"/>
  <c r="C14" i="24"/>
  <c r="B14" i="24"/>
  <c r="F13" i="24"/>
  <c r="E13" i="24"/>
  <c r="D13" i="24"/>
  <c r="C13" i="24"/>
  <c r="B13" i="24"/>
  <c r="F12" i="24"/>
  <c r="E12" i="24"/>
  <c r="D12" i="24"/>
  <c r="C12" i="24"/>
  <c r="B12" i="24"/>
  <c r="F11" i="24"/>
  <c r="E11" i="24"/>
  <c r="D11" i="24"/>
  <c r="C11" i="24"/>
  <c r="B11" i="24"/>
  <c r="F10" i="24"/>
  <c r="E10" i="24"/>
  <c r="D10" i="24"/>
  <c r="C10" i="24"/>
  <c r="B10" i="24"/>
  <c r="F9" i="24"/>
  <c r="E9" i="24"/>
  <c r="D9" i="24"/>
  <c r="C9" i="24"/>
  <c r="B9" i="24"/>
  <c r="F8" i="24"/>
  <c r="E8" i="24"/>
  <c r="D8" i="24"/>
  <c r="C8" i="24"/>
  <c r="B8" i="24"/>
  <c r="F7" i="24"/>
  <c r="E7" i="24"/>
  <c r="D7" i="24"/>
  <c r="C7" i="24"/>
  <c r="B7" i="24"/>
  <c r="F6" i="24"/>
  <c r="E6" i="24"/>
  <c r="D6" i="24"/>
  <c r="C6" i="24"/>
  <c r="B6" i="24"/>
  <c r="F5" i="24"/>
  <c r="E5" i="24"/>
  <c r="D5" i="24"/>
  <c r="C5" i="24"/>
  <c r="B5" i="24"/>
  <c r="H254" i="23"/>
  <c r="H253" i="23"/>
  <c r="H252" i="23"/>
  <c r="H251" i="23"/>
  <c r="H250" i="23"/>
  <c r="H249" i="23"/>
  <c r="H248" i="23"/>
  <c r="H247" i="23"/>
  <c r="H246" i="23"/>
  <c r="H245" i="23"/>
  <c r="H244" i="23"/>
  <c r="H243" i="23"/>
  <c r="H242" i="23"/>
  <c r="H241" i="23"/>
  <c r="H240" i="23"/>
  <c r="H239" i="23"/>
  <c r="H238" i="23"/>
  <c r="H237" i="23"/>
  <c r="H236" i="23"/>
  <c r="H235" i="23"/>
  <c r="H234" i="23"/>
  <c r="H233" i="23"/>
  <c r="H232" i="23"/>
  <c r="H231" i="23"/>
  <c r="H230" i="23"/>
  <c r="H229" i="23"/>
  <c r="H228" i="23"/>
  <c r="H227" i="23"/>
  <c r="H226" i="23"/>
  <c r="H225" i="23"/>
  <c r="H224" i="23"/>
  <c r="H223" i="23"/>
  <c r="H222" i="23"/>
  <c r="H221" i="23"/>
  <c r="H220" i="23"/>
  <c r="H219" i="23"/>
  <c r="H218" i="23"/>
  <c r="H217" i="23"/>
  <c r="H216" i="23"/>
  <c r="H215" i="23"/>
  <c r="H214" i="23"/>
  <c r="H213" i="23"/>
  <c r="H212" i="23"/>
  <c r="H211" i="23"/>
  <c r="H210" i="23"/>
  <c r="H209" i="23"/>
  <c r="H208" i="23"/>
  <c r="H207" i="23"/>
  <c r="H206" i="23"/>
  <c r="H205" i="23"/>
  <c r="H204" i="23"/>
  <c r="H203" i="23"/>
  <c r="H202" i="23"/>
  <c r="H201" i="23"/>
  <c r="H200" i="23"/>
  <c r="H199" i="23"/>
  <c r="H198" i="23"/>
  <c r="H197" i="23"/>
  <c r="H196" i="23"/>
  <c r="H195" i="23"/>
  <c r="H194" i="23"/>
  <c r="H193" i="23"/>
  <c r="H192" i="23"/>
  <c r="H191" i="23"/>
  <c r="H190" i="23"/>
  <c r="H189" i="23"/>
  <c r="H188" i="23"/>
  <c r="H187" i="23"/>
  <c r="H186" i="23"/>
  <c r="H185" i="23"/>
  <c r="H184" i="23"/>
  <c r="H183" i="23"/>
  <c r="H182" i="23"/>
  <c r="H181" i="23"/>
  <c r="H180" i="23"/>
  <c r="H179" i="23"/>
  <c r="H178" i="23"/>
  <c r="H177" i="23"/>
  <c r="H176" i="23"/>
  <c r="H175" i="23"/>
  <c r="H174" i="23"/>
  <c r="H173" i="23"/>
  <c r="H172" i="23"/>
  <c r="H171" i="23"/>
  <c r="H170" i="23"/>
  <c r="H169" i="23"/>
  <c r="H168" i="23"/>
  <c r="H167" i="23"/>
  <c r="H166" i="23"/>
  <c r="H165" i="23"/>
  <c r="H164" i="23"/>
  <c r="H163" i="23"/>
  <c r="H162" i="23"/>
  <c r="H161" i="23"/>
  <c r="H160" i="23"/>
  <c r="H159" i="23"/>
  <c r="H158" i="23"/>
  <c r="H157" i="23"/>
  <c r="H156" i="23"/>
  <c r="H155" i="23"/>
  <c r="H154" i="23"/>
  <c r="H153" i="23"/>
  <c r="H152" i="23"/>
  <c r="H151" i="23"/>
  <c r="H150" i="23"/>
  <c r="H149" i="23"/>
  <c r="H148" i="23"/>
  <c r="H147" i="23"/>
  <c r="H146" i="23"/>
  <c r="H145" i="23"/>
  <c r="H144" i="23"/>
  <c r="H143" i="23"/>
  <c r="H142" i="23"/>
  <c r="H141" i="23"/>
  <c r="H140" i="23"/>
  <c r="H139" i="23"/>
  <c r="H138" i="23"/>
  <c r="H137" i="23"/>
  <c r="H136" i="23"/>
  <c r="H135" i="23"/>
  <c r="H134" i="23"/>
  <c r="H133" i="23"/>
  <c r="H132" i="23"/>
  <c r="H131" i="23"/>
  <c r="H130" i="23"/>
  <c r="H129" i="23"/>
  <c r="H128" i="23"/>
  <c r="H127" i="23"/>
  <c r="H126" i="23"/>
  <c r="H125" i="23"/>
  <c r="H124" i="23"/>
  <c r="H123" i="23"/>
  <c r="H122" i="23"/>
  <c r="H121" i="23"/>
  <c r="H120" i="23"/>
  <c r="H119" i="23"/>
  <c r="H118" i="23"/>
  <c r="H117" i="23"/>
  <c r="H116" i="23"/>
  <c r="H115" i="23"/>
  <c r="H114" i="23"/>
  <c r="H113" i="23"/>
  <c r="H112" i="23"/>
  <c r="H111" i="23"/>
  <c r="H110" i="23"/>
  <c r="H109" i="23"/>
  <c r="H108" i="23"/>
  <c r="H107" i="23"/>
  <c r="H106" i="23"/>
  <c r="H105" i="23"/>
  <c r="H104" i="23"/>
  <c r="H103" i="23"/>
  <c r="H102" i="23"/>
  <c r="H101" i="23"/>
  <c r="H100" i="23"/>
  <c r="H99" i="23"/>
  <c r="H98" i="23"/>
  <c r="H97" i="23"/>
  <c r="H96" i="23"/>
  <c r="H95" i="23"/>
  <c r="H94" i="23"/>
  <c r="H93" i="23"/>
  <c r="H92" i="23"/>
  <c r="H91" i="23"/>
  <c r="H90" i="23"/>
  <c r="H89" i="23"/>
  <c r="H88" i="23"/>
  <c r="H87" i="23"/>
  <c r="H86" i="23"/>
  <c r="H85" i="23"/>
  <c r="H84" i="23"/>
  <c r="H83" i="23"/>
  <c r="H82" i="23"/>
  <c r="H81" i="23"/>
  <c r="H80" i="23"/>
  <c r="H79" i="23"/>
  <c r="H78" i="23"/>
  <c r="H77" i="23"/>
  <c r="H76" i="23"/>
  <c r="H75" i="23"/>
  <c r="H74" i="23"/>
  <c r="H73" i="23"/>
  <c r="H72" i="23"/>
  <c r="H71" i="23"/>
  <c r="H70" i="23"/>
  <c r="H69" i="23"/>
  <c r="H68" i="23"/>
  <c r="H67" i="23"/>
  <c r="H66" i="23"/>
  <c r="H65" i="23"/>
  <c r="H64" i="23"/>
  <c r="H63" i="23"/>
  <c r="H62" i="23"/>
  <c r="H61" i="23"/>
  <c r="H60" i="23"/>
  <c r="H59" i="23"/>
  <c r="H58" i="23"/>
  <c r="H57" i="23"/>
  <c r="H56" i="23"/>
  <c r="H55" i="23"/>
  <c r="H54" i="23"/>
  <c r="H53" i="23"/>
  <c r="H52" i="23"/>
  <c r="H51" i="23"/>
  <c r="H50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H27" i="23"/>
  <c r="H26" i="23"/>
  <c r="H25" i="23"/>
  <c r="H24" i="23"/>
  <c r="H23" i="23"/>
  <c r="H22" i="23"/>
  <c r="H21" i="23"/>
  <c r="H20" i="23"/>
  <c r="H19" i="23"/>
  <c r="H18" i="23"/>
  <c r="H17" i="23"/>
  <c r="H16" i="23"/>
  <c r="H15" i="23"/>
  <c r="H14" i="23"/>
  <c r="H13" i="23"/>
  <c r="H12" i="23"/>
  <c r="H11" i="23"/>
  <c r="H10" i="23"/>
  <c r="H9" i="23"/>
  <c r="H8" i="23"/>
  <c r="H7" i="23"/>
  <c r="H6" i="23"/>
  <c r="H254" i="22"/>
  <c r="H253" i="22"/>
  <c r="H252" i="22"/>
  <c r="H251" i="22"/>
  <c r="H250" i="22"/>
  <c r="H249" i="22"/>
  <c r="H248" i="22"/>
  <c r="H247" i="22"/>
  <c r="H246" i="22"/>
  <c r="H245" i="22"/>
  <c r="H244" i="22"/>
  <c r="H243" i="22"/>
  <c r="H242" i="22"/>
  <c r="H241" i="22"/>
  <c r="H240" i="22"/>
  <c r="H239" i="22"/>
  <c r="H238" i="22"/>
  <c r="H237" i="22"/>
  <c r="H236" i="22"/>
  <c r="H235" i="22"/>
  <c r="H234" i="22"/>
  <c r="H233" i="22"/>
  <c r="H232" i="22"/>
  <c r="H231" i="22"/>
  <c r="H230" i="22"/>
  <c r="H229" i="22"/>
  <c r="H228" i="22"/>
  <c r="H227" i="22"/>
  <c r="H226" i="22"/>
  <c r="H225" i="22"/>
  <c r="H224" i="22"/>
  <c r="H223" i="22"/>
  <c r="H222" i="22"/>
  <c r="H221" i="22"/>
  <c r="H220" i="22"/>
  <c r="H219" i="22"/>
  <c r="H218" i="22"/>
  <c r="H217" i="22"/>
  <c r="H216" i="22"/>
  <c r="H215" i="22"/>
  <c r="H214" i="22"/>
  <c r="H213" i="22"/>
  <c r="H212" i="22"/>
  <c r="H211" i="22"/>
  <c r="H210" i="22"/>
  <c r="H209" i="22"/>
  <c r="H208" i="22"/>
  <c r="H207" i="22"/>
  <c r="H206" i="22"/>
  <c r="H205" i="22"/>
  <c r="H204" i="22"/>
  <c r="H203" i="22"/>
  <c r="H202" i="22"/>
  <c r="H201" i="22"/>
  <c r="H200" i="22"/>
  <c r="H199" i="22"/>
  <c r="H198" i="22"/>
  <c r="H197" i="22"/>
  <c r="H196" i="22"/>
  <c r="H195" i="22"/>
  <c r="H194" i="22"/>
  <c r="H193" i="22"/>
  <c r="H192" i="22"/>
  <c r="H191" i="22"/>
  <c r="H190" i="22"/>
  <c r="H189" i="22"/>
  <c r="H188" i="22"/>
  <c r="H187" i="22"/>
  <c r="H186" i="22"/>
  <c r="H185" i="22"/>
  <c r="H184" i="22"/>
  <c r="H183" i="22"/>
  <c r="H182" i="22"/>
  <c r="H181" i="22"/>
  <c r="H180" i="22"/>
  <c r="H179" i="22"/>
  <c r="H178" i="22"/>
  <c r="H177" i="22"/>
  <c r="H176" i="22"/>
  <c r="H175" i="22"/>
  <c r="H174" i="22"/>
  <c r="H173" i="22"/>
  <c r="H172" i="22"/>
  <c r="H171" i="22"/>
  <c r="H170" i="22"/>
  <c r="H169" i="22"/>
  <c r="H168" i="22"/>
  <c r="H167" i="22"/>
  <c r="H166" i="22"/>
  <c r="H165" i="22"/>
  <c r="H164" i="22"/>
  <c r="H163" i="22"/>
  <c r="H162" i="22"/>
  <c r="H161" i="22"/>
  <c r="H160" i="22"/>
  <c r="H159" i="22"/>
  <c r="H158" i="22"/>
  <c r="H157" i="22"/>
  <c r="H156" i="22"/>
  <c r="H155" i="22"/>
  <c r="H154" i="22"/>
  <c r="H153" i="22"/>
  <c r="H152" i="22"/>
  <c r="H151" i="22"/>
  <c r="H150" i="22"/>
  <c r="H149" i="22"/>
  <c r="H148" i="22"/>
  <c r="H147" i="22"/>
  <c r="H146" i="22"/>
  <c r="H145" i="22"/>
  <c r="H144" i="22"/>
  <c r="H143" i="22"/>
  <c r="H142" i="22"/>
  <c r="H141" i="22"/>
  <c r="H140" i="22"/>
  <c r="H139" i="22"/>
  <c r="H138" i="22"/>
  <c r="H137" i="22"/>
  <c r="H136" i="22"/>
  <c r="H135" i="22"/>
  <c r="H134" i="22"/>
  <c r="H133" i="22"/>
  <c r="H132" i="22"/>
  <c r="H131" i="22"/>
  <c r="H130" i="22"/>
  <c r="H129" i="22"/>
  <c r="H128" i="22"/>
  <c r="H127" i="22"/>
  <c r="H126" i="22"/>
  <c r="H125" i="22"/>
  <c r="H124" i="22"/>
  <c r="H123" i="22"/>
  <c r="H122" i="22"/>
  <c r="H121" i="22"/>
  <c r="H120" i="22"/>
  <c r="H119" i="22"/>
  <c r="H118" i="22"/>
  <c r="H117" i="22"/>
  <c r="H116" i="22"/>
  <c r="H115" i="22"/>
  <c r="H114" i="22"/>
  <c r="H113" i="22"/>
  <c r="H112" i="22"/>
  <c r="H111" i="22"/>
  <c r="H110" i="22"/>
  <c r="H109" i="22"/>
  <c r="H108" i="22"/>
  <c r="H107" i="22"/>
  <c r="H106" i="22"/>
  <c r="H105" i="22"/>
  <c r="H104" i="22"/>
  <c r="H103" i="22"/>
  <c r="H102" i="22"/>
  <c r="H101" i="22"/>
  <c r="H100" i="22"/>
  <c r="H99" i="22"/>
  <c r="H98" i="22"/>
  <c r="H97" i="22"/>
  <c r="H96" i="22"/>
  <c r="H95" i="22"/>
  <c r="H94" i="22"/>
  <c r="H93" i="22"/>
  <c r="H92" i="22"/>
  <c r="H91" i="22"/>
  <c r="H90" i="22"/>
  <c r="H89" i="22"/>
  <c r="H88" i="22"/>
  <c r="H87" i="22"/>
  <c r="H86" i="22"/>
  <c r="H85" i="22"/>
  <c r="H84" i="22"/>
  <c r="H83" i="22"/>
  <c r="H82" i="22"/>
  <c r="H81" i="22"/>
  <c r="H80" i="22"/>
  <c r="H79" i="22"/>
  <c r="H78" i="22"/>
  <c r="H77" i="22"/>
  <c r="H76" i="22"/>
  <c r="H75" i="22"/>
  <c r="H74" i="22"/>
  <c r="H73" i="22"/>
  <c r="H72" i="22"/>
  <c r="H71" i="22"/>
  <c r="H70" i="22"/>
  <c r="H69" i="22"/>
  <c r="H68" i="22"/>
  <c r="H67" i="22"/>
  <c r="H66" i="22"/>
  <c r="H65" i="22"/>
  <c r="H64" i="22"/>
  <c r="H63" i="22"/>
  <c r="H62" i="22"/>
  <c r="H61" i="22"/>
  <c r="H60" i="22"/>
  <c r="H59" i="22"/>
  <c r="H58" i="22"/>
  <c r="H57" i="22"/>
  <c r="H56" i="22"/>
  <c r="H55" i="22"/>
  <c r="H54" i="22"/>
  <c r="H53" i="22"/>
  <c r="H52" i="22"/>
  <c r="H51" i="22"/>
  <c r="H50" i="22"/>
  <c r="H49" i="22"/>
  <c r="H48" i="22"/>
  <c r="H47" i="22"/>
  <c r="H46" i="22"/>
  <c r="H45" i="22"/>
  <c r="H44" i="22"/>
  <c r="H43" i="22"/>
  <c r="H42" i="22"/>
  <c r="H41" i="22"/>
  <c r="H40" i="22"/>
  <c r="H39" i="22"/>
  <c r="H38" i="22"/>
  <c r="H37" i="22"/>
  <c r="H36" i="22"/>
  <c r="H35" i="22"/>
  <c r="H34" i="22"/>
  <c r="H33" i="22"/>
  <c r="H32" i="22"/>
  <c r="H31" i="22"/>
  <c r="H30" i="22"/>
  <c r="H29" i="22"/>
  <c r="H28" i="22"/>
  <c r="H27" i="22"/>
  <c r="H26" i="22"/>
  <c r="H25" i="22"/>
  <c r="H24" i="22"/>
  <c r="H23" i="22"/>
  <c r="H22" i="22"/>
  <c r="H21" i="22"/>
  <c r="H20" i="22"/>
  <c r="H19" i="22"/>
  <c r="H18" i="22"/>
  <c r="H17" i="22"/>
  <c r="H16" i="22"/>
  <c r="H15" i="22"/>
  <c r="H14" i="22"/>
  <c r="H13" i="22"/>
  <c r="H12" i="22"/>
  <c r="H11" i="22"/>
  <c r="H10" i="22"/>
  <c r="H9" i="22"/>
  <c r="H8" i="22"/>
  <c r="H7" i="22"/>
  <c r="H6" i="22"/>
  <c r="H254" i="21"/>
  <c r="H253" i="21"/>
  <c r="H252" i="21"/>
  <c r="H251" i="21"/>
  <c r="H250" i="21"/>
  <c r="H249" i="21"/>
  <c r="H248" i="21"/>
  <c r="H247" i="21"/>
  <c r="H246" i="21"/>
  <c r="H245" i="21"/>
  <c r="H244" i="21"/>
  <c r="H243" i="21"/>
  <c r="H242" i="21"/>
  <c r="H241" i="21"/>
  <c r="H240" i="21"/>
  <c r="H239" i="21"/>
  <c r="H238" i="21"/>
  <c r="H237" i="21"/>
  <c r="H236" i="21"/>
  <c r="H235" i="21"/>
  <c r="H234" i="21"/>
  <c r="H233" i="21"/>
  <c r="H232" i="21"/>
  <c r="H231" i="21"/>
  <c r="H230" i="21"/>
  <c r="H229" i="21"/>
  <c r="H228" i="21"/>
  <c r="H227" i="21"/>
  <c r="H226" i="21"/>
  <c r="H225" i="21"/>
  <c r="H224" i="21"/>
  <c r="H223" i="21"/>
  <c r="H222" i="21"/>
  <c r="H221" i="21"/>
  <c r="H220" i="21"/>
  <c r="H219" i="21"/>
  <c r="H218" i="21"/>
  <c r="H217" i="21"/>
  <c r="H216" i="21"/>
  <c r="H215" i="21"/>
  <c r="H214" i="21"/>
  <c r="H213" i="21"/>
  <c r="H212" i="21"/>
  <c r="H211" i="21"/>
  <c r="H210" i="21"/>
  <c r="H209" i="21"/>
  <c r="H208" i="21"/>
  <c r="H207" i="21"/>
  <c r="H206" i="21"/>
  <c r="H205" i="21"/>
  <c r="H204" i="21"/>
  <c r="H203" i="21"/>
  <c r="H202" i="21"/>
  <c r="H201" i="21"/>
  <c r="H200" i="21"/>
  <c r="H199" i="21"/>
  <c r="H198" i="21"/>
  <c r="H197" i="21"/>
  <c r="H196" i="21"/>
  <c r="H195" i="21"/>
  <c r="H194" i="21"/>
  <c r="H193" i="21"/>
  <c r="H192" i="21"/>
  <c r="H191" i="21"/>
  <c r="H190" i="21"/>
  <c r="H189" i="21"/>
  <c r="H188" i="21"/>
  <c r="H187" i="21"/>
  <c r="H186" i="21"/>
  <c r="H185" i="21"/>
  <c r="H184" i="21"/>
  <c r="H183" i="21"/>
  <c r="H182" i="21"/>
  <c r="H181" i="21"/>
  <c r="H180" i="21"/>
  <c r="H179" i="21"/>
  <c r="H178" i="21"/>
  <c r="H177" i="21"/>
  <c r="H176" i="21"/>
  <c r="H175" i="21"/>
  <c r="H174" i="21"/>
  <c r="H173" i="21"/>
  <c r="H172" i="21"/>
  <c r="H171" i="21"/>
  <c r="H170" i="21"/>
  <c r="H169" i="21"/>
  <c r="H168" i="21"/>
  <c r="H167" i="21"/>
  <c r="H166" i="21"/>
  <c r="H165" i="21"/>
  <c r="H164" i="21"/>
  <c r="H163" i="21"/>
  <c r="H162" i="21"/>
  <c r="H161" i="21"/>
  <c r="H160" i="21"/>
  <c r="H159" i="21"/>
  <c r="H158" i="21"/>
  <c r="H157" i="21"/>
  <c r="H156" i="21"/>
  <c r="H155" i="21"/>
  <c r="H154" i="21"/>
  <c r="H153" i="21"/>
  <c r="H152" i="21"/>
  <c r="H151" i="21"/>
  <c r="H150" i="21"/>
  <c r="H149" i="21"/>
  <c r="H148" i="21"/>
  <c r="H147" i="21"/>
  <c r="H146" i="21"/>
  <c r="H145" i="21"/>
  <c r="H144" i="21"/>
  <c r="H143" i="21"/>
  <c r="H142" i="21"/>
  <c r="H141" i="21"/>
  <c r="H140" i="21"/>
  <c r="H139" i="21"/>
  <c r="H138" i="21"/>
  <c r="H137" i="21"/>
  <c r="H136" i="21"/>
  <c r="H135" i="21"/>
  <c r="H134" i="21"/>
  <c r="H133" i="21"/>
  <c r="H132" i="21"/>
  <c r="H131" i="21"/>
  <c r="H130" i="21"/>
  <c r="H129" i="21"/>
  <c r="H128" i="21"/>
  <c r="H127" i="21"/>
  <c r="H126" i="21"/>
  <c r="H125" i="21"/>
  <c r="H124" i="21"/>
  <c r="H123" i="21"/>
  <c r="H122" i="21"/>
  <c r="H121" i="21"/>
  <c r="H120" i="21"/>
  <c r="H119" i="21"/>
  <c r="H118" i="21"/>
  <c r="H117" i="21"/>
  <c r="H116" i="21"/>
  <c r="H115" i="21"/>
  <c r="H114" i="21"/>
  <c r="H113" i="21"/>
  <c r="H112" i="21"/>
  <c r="H111" i="21"/>
  <c r="H110" i="21"/>
  <c r="H109" i="21"/>
  <c r="H108" i="21"/>
  <c r="H107" i="21"/>
  <c r="H106" i="21"/>
  <c r="H105" i="21"/>
  <c r="H104" i="21"/>
  <c r="H103" i="21"/>
  <c r="H102" i="21"/>
  <c r="H101" i="21"/>
  <c r="H100" i="21"/>
  <c r="H99" i="21"/>
  <c r="H98" i="21"/>
  <c r="H97" i="21"/>
  <c r="H96" i="21"/>
  <c r="H95" i="21"/>
  <c r="H94" i="21"/>
  <c r="H93" i="21"/>
  <c r="H92" i="21"/>
  <c r="H91" i="21"/>
  <c r="H90" i="21"/>
  <c r="H89" i="21"/>
  <c r="H88" i="21"/>
  <c r="H87" i="21"/>
  <c r="H86" i="21"/>
  <c r="H85" i="21"/>
  <c r="H84" i="21"/>
  <c r="H83" i="21"/>
  <c r="H82" i="21"/>
  <c r="H81" i="21"/>
  <c r="H80" i="21"/>
  <c r="H79" i="21"/>
  <c r="H78" i="21"/>
  <c r="H77" i="21"/>
  <c r="H76" i="21"/>
  <c r="H75" i="21"/>
  <c r="H74" i="21"/>
  <c r="H73" i="21"/>
  <c r="H72" i="21"/>
  <c r="H71" i="21"/>
  <c r="H70" i="21"/>
  <c r="H69" i="21"/>
  <c r="H68" i="21"/>
  <c r="H67" i="21"/>
  <c r="H66" i="21"/>
  <c r="H65" i="21"/>
  <c r="H64" i="21"/>
  <c r="H63" i="21"/>
  <c r="H62" i="21"/>
  <c r="H61" i="21"/>
  <c r="H60" i="21"/>
  <c r="H59" i="21"/>
  <c r="H58" i="21"/>
  <c r="H57" i="21"/>
  <c r="H56" i="21"/>
  <c r="H55" i="21"/>
  <c r="H54" i="21"/>
  <c r="H53" i="21"/>
  <c r="H52" i="21"/>
  <c r="H51" i="21"/>
  <c r="H50" i="21"/>
  <c r="H49" i="21"/>
  <c r="H48" i="21"/>
  <c r="H47" i="21"/>
  <c r="H46" i="21"/>
  <c r="H45" i="21"/>
  <c r="H44" i="21"/>
  <c r="H43" i="21"/>
  <c r="H42" i="21"/>
  <c r="H41" i="21"/>
  <c r="H40" i="21"/>
  <c r="H39" i="21"/>
  <c r="H38" i="21"/>
  <c r="H37" i="21"/>
  <c r="H36" i="21"/>
  <c r="H35" i="21"/>
  <c r="H34" i="21"/>
  <c r="H33" i="21"/>
  <c r="H32" i="21"/>
  <c r="H31" i="21"/>
  <c r="H30" i="21"/>
  <c r="H29" i="21"/>
  <c r="H28" i="21"/>
  <c r="H27" i="21"/>
  <c r="H26" i="21"/>
  <c r="H25" i="21"/>
  <c r="H24" i="21"/>
  <c r="H23" i="21"/>
  <c r="H22" i="21"/>
  <c r="H21" i="21"/>
  <c r="H20" i="21"/>
  <c r="H19" i="21"/>
  <c r="H18" i="21"/>
  <c r="H17" i="21"/>
  <c r="H16" i="21"/>
  <c r="H15" i="21"/>
  <c r="H14" i="21"/>
  <c r="H13" i="21"/>
  <c r="H12" i="21"/>
  <c r="H11" i="21"/>
  <c r="H10" i="21"/>
  <c r="H9" i="21"/>
  <c r="H8" i="21"/>
  <c r="H7" i="21"/>
  <c r="H6" i="21"/>
  <c r="H254" i="20"/>
  <c r="H253" i="20"/>
  <c r="H252" i="20"/>
  <c r="H251" i="20"/>
  <c r="H250" i="20"/>
  <c r="H249" i="20"/>
  <c r="H248" i="20"/>
  <c r="H247" i="20"/>
  <c r="H246" i="20"/>
  <c r="H245" i="20"/>
  <c r="H244" i="20"/>
  <c r="H243" i="20"/>
  <c r="H242" i="20"/>
  <c r="H241" i="20"/>
  <c r="H240" i="20"/>
  <c r="H239" i="20"/>
  <c r="H238" i="20"/>
  <c r="H237" i="20"/>
  <c r="H236" i="20"/>
  <c r="H235" i="20"/>
  <c r="H234" i="20"/>
  <c r="H233" i="20"/>
  <c r="H232" i="20"/>
  <c r="H231" i="20"/>
  <c r="H230" i="20"/>
  <c r="H229" i="20"/>
  <c r="H228" i="20"/>
  <c r="H227" i="20"/>
  <c r="H226" i="20"/>
  <c r="H225" i="20"/>
  <c r="H224" i="20"/>
  <c r="H223" i="20"/>
  <c r="H222" i="20"/>
  <c r="H221" i="20"/>
  <c r="H220" i="20"/>
  <c r="H219" i="20"/>
  <c r="H218" i="20"/>
  <c r="H217" i="20"/>
  <c r="H216" i="20"/>
  <c r="H215" i="20"/>
  <c r="H214" i="20"/>
  <c r="H213" i="20"/>
  <c r="H212" i="20"/>
  <c r="H211" i="20"/>
  <c r="H210" i="20"/>
  <c r="H209" i="20"/>
  <c r="H208" i="20"/>
  <c r="H207" i="20"/>
  <c r="H206" i="20"/>
  <c r="H205" i="20"/>
  <c r="H204" i="20"/>
  <c r="H203" i="20"/>
  <c r="H202" i="20"/>
  <c r="H201" i="20"/>
  <c r="H200" i="20"/>
  <c r="H199" i="20"/>
  <c r="H198" i="20"/>
  <c r="H197" i="20"/>
  <c r="H196" i="20"/>
  <c r="H195" i="20"/>
  <c r="H194" i="20"/>
  <c r="H193" i="20"/>
  <c r="H192" i="20"/>
  <c r="H191" i="20"/>
  <c r="H190" i="20"/>
  <c r="H189" i="20"/>
  <c r="H188" i="20"/>
  <c r="H187" i="20"/>
  <c r="H186" i="20"/>
  <c r="H185" i="20"/>
  <c r="H184" i="20"/>
  <c r="H183" i="20"/>
  <c r="H182" i="20"/>
  <c r="H181" i="20"/>
  <c r="H180" i="20"/>
  <c r="H179" i="20"/>
  <c r="H178" i="20"/>
  <c r="H177" i="20"/>
  <c r="H176" i="20"/>
  <c r="H175" i="20"/>
  <c r="H174" i="20"/>
  <c r="H173" i="20"/>
  <c r="H172" i="20"/>
  <c r="H171" i="20"/>
  <c r="H170" i="20"/>
  <c r="H169" i="20"/>
  <c r="H168" i="20"/>
  <c r="H167" i="20"/>
  <c r="H166" i="20"/>
  <c r="H165" i="20"/>
  <c r="H164" i="20"/>
  <c r="H163" i="20"/>
  <c r="H162" i="20"/>
  <c r="H161" i="20"/>
  <c r="H160" i="20"/>
  <c r="H159" i="20"/>
  <c r="H158" i="20"/>
  <c r="H157" i="20"/>
  <c r="H156" i="20"/>
  <c r="H155" i="20"/>
  <c r="H154" i="20"/>
  <c r="H153" i="20"/>
  <c r="H152" i="20"/>
  <c r="H151" i="20"/>
  <c r="H150" i="20"/>
  <c r="H149" i="20"/>
  <c r="H148" i="20"/>
  <c r="H147" i="20"/>
  <c r="H146" i="20"/>
  <c r="H145" i="20"/>
  <c r="H144" i="20"/>
  <c r="H143" i="20"/>
  <c r="H142" i="20"/>
  <c r="H141" i="20"/>
  <c r="H140" i="20"/>
  <c r="H139" i="20"/>
  <c r="H138" i="20"/>
  <c r="H137" i="20"/>
  <c r="H136" i="20"/>
  <c r="H135" i="20"/>
  <c r="H134" i="20"/>
  <c r="H133" i="20"/>
  <c r="H132" i="20"/>
  <c r="H131" i="20"/>
  <c r="H130" i="20"/>
  <c r="H129" i="20"/>
  <c r="H128" i="20"/>
  <c r="H127" i="20"/>
  <c r="H126" i="20"/>
  <c r="H125" i="20"/>
  <c r="H124" i="20"/>
  <c r="H123" i="20"/>
  <c r="H122" i="20"/>
  <c r="H121" i="20"/>
  <c r="H120" i="20"/>
  <c r="H119" i="20"/>
  <c r="H118" i="20"/>
  <c r="H117" i="20"/>
  <c r="H116" i="20"/>
  <c r="H115" i="20"/>
  <c r="H114" i="20"/>
  <c r="H113" i="20"/>
  <c r="H112" i="20"/>
  <c r="H111" i="20"/>
  <c r="H110" i="20"/>
  <c r="H109" i="20"/>
  <c r="H108" i="20"/>
  <c r="H107" i="20"/>
  <c r="H106" i="20"/>
  <c r="H105" i="20"/>
  <c r="H104" i="20"/>
  <c r="H103" i="20"/>
  <c r="H102" i="20"/>
  <c r="H101" i="20"/>
  <c r="H100" i="20"/>
  <c r="H99" i="20"/>
  <c r="H98" i="20"/>
  <c r="H97" i="20"/>
  <c r="H96" i="20"/>
  <c r="H95" i="20"/>
  <c r="H94" i="20"/>
  <c r="H93" i="20"/>
  <c r="H92" i="20"/>
  <c r="H91" i="20"/>
  <c r="H90" i="20"/>
  <c r="H89" i="20"/>
  <c r="H88" i="20"/>
  <c r="H87" i="20"/>
  <c r="H86" i="20"/>
  <c r="H85" i="20"/>
  <c r="H84" i="20"/>
  <c r="H83" i="20"/>
  <c r="H82" i="20"/>
  <c r="H81" i="20"/>
  <c r="H80" i="20"/>
  <c r="H79" i="20"/>
  <c r="H78" i="20"/>
  <c r="H77" i="20"/>
  <c r="H76" i="20"/>
  <c r="H75" i="20"/>
  <c r="H74" i="20"/>
  <c r="H73" i="20"/>
  <c r="H72" i="20"/>
  <c r="H71" i="20"/>
  <c r="H70" i="20"/>
  <c r="H69" i="20"/>
  <c r="H68" i="20"/>
  <c r="H67" i="20"/>
  <c r="H66" i="20"/>
  <c r="H65" i="20"/>
  <c r="H64" i="20"/>
  <c r="H63" i="20"/>
  <c r="H62" i="20"/>
  <c r="H61" i="20"/>
  <c r="H60" i="20"/>
  <c r="H59" i="20"/>
  <c r="H58" i="20"/>
  <c r="H57" i="20"/>
  <c r="H56" i="20"/>
  <c r="H55" i="20"/>
  <c r="H54" i="20"/>
  <c r="H53" i="20"/>
  <c r="H52" i="20"/>
  <c r="H51" i="20"/>
  <c r="H50" i="20"/>
  <c r="H49" i="20"/>
  <c r="H48" i="20"/>
  <c r="H47" i="20"/>
  <c r="H46" i="20"/>
  <c r="H45" i="20"/>
  <c r="H44" i="20"/>
  <c r="H43" i="20"/>
  <c r="H42" i="20"/>
  <c r="H41" i="20"/>
  <c r="H40" i="20"/>
  <c r="H39" i="20"/>
  <c r="H38" i="20"/>
  <c r="H37" i="20"/>
  <c r="H36" i="20"/>
  <c r="H35" i="20"/>
  <c r="H34" i="20"/>
  <c r="H33" i="20"/>
  <c r="H32" i="20"/>
  <c r="H31" i="20"/>
  <c r="H30" i="20"/>
  <c r="H29" i="20"/>
  <c r="H28" i="20"/>
  <c r="H27" i="20"/>
  <c r="H26" i="20"/>
  <c r="H25" i="20"/>
  <c r="H24" i="20"/>
  <c r="H23" i="20"/>
  <c r="H22" i="20"/>
  <c r="H21" i="20"/>
  <c r="H20" i="20"/>
  <c r="H19" i="20"/>
  <c r="H18" i="20"/>
  <c r="H17" i="20"/>
  <c r="H16" i="20"/>
  <c r="H15" i="20"/>
  <c r="H14" i="20"/>
  <c r="H13" i="20"/>
  <c r="H12" i="20"/>
  <c r="H11" i="20"/>
  <c r="H10" i="20"/>
  <c r="H9" i="20"/>
  <c r="H8" i="20"/>
  <c r="H7" i="20"/>
  <c r="H6" i="20"/>
  <c r="H254" i="13"/>
  <c r="H253" i="13"/>
  <c r="H252" i="13"/>
  <c r="H251" i="13"/>
  <c r="H250" i="13"/>
  <c r="H249" i="13"/>
  <c r="H248" i="13"/>
  <c r="H247" i="13"/>
  <c r="H246" i="13"/>
  <c r="H245" i="13"/>
  <c r="H244" i="13"/>
  <c r="H243" i="13"/>
  <c r="H242" i="13"/>
  <c r="H241" i="13"/>
  <c r="H240" i="13"/>
  <c r="H239" i="13"/>
  <c r="H238" i="13"/>
  <c r="H237" i="13"/>
  <c r="H236" i="13"/>
  <c r="H235" i="13"/>
  <c r="H234" i="13"/>
  <c r="H233" i="13"/>
  <c r="H232" i="13"/>
  <c r="H231" i="13"/>
  <c r="H230" i="13"/>
  <c r="H229" i="13"/>
  <c r="H228" i="13"/>
  <c r="H227" i="13"/>
  <c r="H226" i="13"/>
  <c r="H225" i="13"/>
  <c r="H224" i="13"/>
  <c r="H223" i="13"/>
  <c r="H222" i="13"/>
  <c r="H221" i="13"/>
  <c r="H220" i="13"/>
  <c r="H219" i="13"/>
  <c r="H218" i="13"/>
  <c r="H217" i="13"/>
  <c r="H216" i="13"/>
  <c r="H215" i="13"/>
  <c r="H214" i="13"/>
  <c r="H213" i="13"/>
  <c r="H212" i="13"/>
  <c r="H211" i="13"/>
  <c r="H210" i="13"/>
  <c r="H209" i="13"/>
  <c r="H208" i="13"/>
  <c r="H207" i="13"/>
  <c r="H206" i="13"/>
  <c r="H205" i="13"/>
  <c r="H204" i="13"/>
  <c r="H203" i="13"/>
  <c r="H202" i="13"/>
  <c r="H201" i="13"/>
  <c r="H200" i="13"/>
  <c r="H199" i="13"/>
  <c r="H198" i="13"/>
  <c r="H197" i="13"/>
  <c r="H196" i="13"/>
  <c r="H195" i="13"/>
  <c r="H194" i="13"/>
  <c r="H193" i="13"/>
  <c r="H192" i="13"/>
  <c r="H191" i="13"/>
  <c r="H190" i="13"/>
  <c r="H189" i="13"/>
  <c r="H188" i="13"/>
  <c r="H187" i="13"/>
  <c r="H186" i="13"/>
  <c r="H185" i="13"/>
  <c r="H184" i="13"/>
  <c r="H183" i="13"/>
  <c r="H182" i="13"/>
  <c r="H181" i="13"/>
  <c r="H180" i="13"/>
  <c r="H179" i="13"/>
  <c r="H178" i="13"/>
  <c r="H177" i="13"/>
  <c r="H176" i="13"/>
  <c r="H175" i="13"/>
  <c r="H174" i="13"/>
  <c r="H173" i="13"/>
  <c r="H172" i="13"/>
  <c r="H171" i="13"/>
  <c r="H170" i="13"/>
  <c r="H169" i="13"/>
  <c r="H168" i="13"/>
  <c r="H167" i="13"/>
  <c r="H166" i="13"/>
  <c r="H165" i="13"/>
  <c r="H164" i="13"/>
  <c r="H163" i="13"/>
  <c r="H162" i="13"/>
  <c r="H161" i="13"/>
  <c r="H160" i="13"/>
  <c r="H159" i="13"/>
  <c r="H158" i="13"/>
  <c r="H157" i="13"/>
  <c r="H156" i="13"/>
  <c r="H155" i="13"/>
  <c r="H154" i="13"/>
  <c r="H153" i="13"/>
  <c r="H152" i="13"/>
  <c r="H151" i="13"/>
  <c r="H150" i="13"/>
  <c r="H149" i="13"/>
  <c r="H148" i="13"/>
  <c r="H147" i="13"/>
  <c r="H146" i="13"/>
  <c r="H145" i="13"/>
  <c r="H144" i="13"/>
  <c r="H143" i="13"/>
  <c r="H142" i="13"/>
  <c r="H141" i="13"/>
  <c r="H140" i="13"/>
  <c r="H139" i="13"/>
  <c r="H138" i="13"/>
  <c r="H137" i="13"/>
  <c r="H136" i="13"/>
  <c r="H135" i="13"/>
  <c r="H134" i="13"/>
  <c r="H133" i="13"/>
  <c r="H132" i="13"/>
  <c r="H131" i="13"/>
  <c r="H130" i="13"/>
  <c r="H129" i="13"/>
  <c r="H128" i="13"/>
  <c r="H127" i="13"/>
  <c r="H126" i="13"/>
  <c r="H125" i="13"/>
  <c r="H124" i="13"/>
  <c r="H123" i="13"/>
  <c r="H122" i="13"/>
  <c r="H121" i="13"/>
  <c r="H120" i="13"/>
  <c r="H119" i="13"/>
  <c r="H118" i="13"/>
  <c r="H117" i="13"/>
  <c r="H116" i="13"/>
  <c r="H115" i="13"/>
  <c r="H114" i="13"/>
  <c r="H113" i="13"/>
  <c r="H112" i="13"/>
  <c r="H111" i="13"/>
  <c r="H110" i="13"/>
  <c r="H109" i="13"/>
  <c r="H108" i="13"/>
  <c r="H107" i="13"/>
  <c r="H106" i="13"/>
  <c r="H105" i="13"/>
  <c r="H104" i="13"/>
  <c r="H103" i="13"/>
  <c r="H102" i="13"/>
  <c r="H101" i="13"/>
  <c r="H100" i="13"/>
  <c r="H99" i="13"/>
  <c r="H98" i="13"/>
  <c r="H97" i="13"/>
  <c r="H96" i="13"/>
  <c r="H95" i="13"/>
  <c r="H94" i="13"/>
  <c r="H93" i="13"/>
  <c r="H92" i="13"/>
  <c r="H91" i="13"/>
  <c r="H90" i="13"/>
  <c r="H89" i="13"/>
  <c r="H88" i="13"/>
  <c r="H87" i="13"/>
  <c r="H86" i="13"/>
  <c r="H85" i="13"/>
  <c r="H84" i="13"/>
  <c r="H83" i="13"/>
  <c r="H82" i="13"/>
  <c r="H81" i="13"/>
  <c r="H80" i="13"/>
  <c r="H79" i="13"/>
  <c r="H78" i="13"/>
  <c r="H77" i="13"/>
  <c r="H76" i="13"/>
  <c r="H75" i="13"/>
  <c r="H74" i="13"/>
  <c r="H73" i="13"/>
  <c r="H72" i="13"/>
  <c r="H71" i="13"/>
  <c r="H70" i="13"/>
  <c r="H69" i="13"/>
  <c r="H68" i="13"/>
  <c r="H67" i="13"/>
  <c r="H66" i="13"/>
  <c r="H65" i="13"/>
  <c r="H64" i="13"/>
  <c r="H63" i="13"/>
  <c r="H62" i="13"/>
  <c r="H61" i="13"/>
  <c r="H60" i="13"/>
  <c r="H59" i="13"/>
  <c r="H58" i="13"/>
  <c r="H57" i="13"/>
  <c r="H56" i="13"/>
  <c r="H55" i="13"/>
  <c r="H54" i="13"/>
  <c r="H53" i="13"/>
  <c r="H52" i="13"/>
  <c r="H51" i="13"/>
  <c r="H50" i="13"/>
  <c r="H49" i="13"/>
  <c r="H48" i="13"/>
  <c r="H47" i="13"/>
  <c r="H46" i="13"/>
  <c r="H45" i="13"/>
  <c r="H44" i="13"/>
  <c r="H43" i="13"/>
  <c r="H42" i="13"/>
  <c r="H41" i="13"/>
  <c r="H40" i="13"/>
  <c r="H39" i="13"/>
  <c r="H38" i="13"/>
  <c r="H37" i="13"/>
  <c r="H36" i="13"/>
  <c r="H35" i="13"/>
  <c r="H34" i="13"/>
  <c r="H33" i="13"/>
  <c r="H32" i="13"/>
  <c r="H31" i="13"/>
  <c r="H30" i="13"/>
  <c r="H29" i="13"/>
  <c r="H28" i="13"/>
  <c r="H27" i="13"/>
  <c r="H26" i="13"/>
  <c r="H25" i="13"/>
  <c r="H24" i="13"/>
  <c r="H23" i="13"/>
  <c r="H22" i="13"/>
  <c r="H21" i="13"/>
  <c r="H20" i="13"/>
  <c r="H19" i="13"/>
  <c r="H18" i="13"/>
  <c r="H17" i="13"/>
  <c r="H16" i="13"/>
  <c r="H15" i="13"/>
  <c r="H14" i="13"/>
  <c r="H13" i="13"/>
  <c r="H12" i="13"/>
  <c r="H11" i="13"/>
  <c r="H10" i="13"/>
  <c r="H9" i="13"/>
  <c r="H8" i="13"/>
  <c r="H7" i="13"/>
  <c r="H6" i="13"/>
  <c r="B4" i="8"/>
  <c r="C4" i="8"/>
  <c r="C6" i="8"/>
  <c r="C2" i="8"/>
  <c r="C3" i="8"/>
  <c r="B3" i="8"/>
  <c r="C5" i="8"/>
  <c r="B5" i="8"/>
  <c r="B6" i="8"/>
  <c r="B2" i="8"/>
  <c r="G4" i="8" l="1"/>
  <c r="F4" i="8"/>
  <c r="E4" i="8"/>
  <c r="E2" i="8"/>
  <c r="G2" i="8"/>
  <c r="F2" i="8"/>
  <c r="G5" i="8"/>
  <c r="F5" i="8"/>
  <c r="E5" i="8"/>
  <c r="E3" i="8"/>
  <c r="G3" i="8"/>
  <c r="F3" i="8"/>
  <c r="E6" i="8"/>
  <c r="F6" i="8"/>
  <c r="G6" i="8"/>
  <c r="F9" i="8" l="1"/>
  <c r="A15" i="8" a="1"/>
  <c r="A15" i="8" s="1"/>
  <c r="C14" i="8" a="1"/>
  <c r="C14" i="8" s="1"/>
  <c r="E9" i="8"/>
  <c r="B16" i="8" l="1"/>
  <c r="A16" i="8"/>
  <c r="D15" i="8"/>
  <c r="C15" i="8"/>
  <c r="B11" i="8"/>
  <c r="A11" i="8"/>
  <c r="G9" i="8"/>
  <c r="D11" i="8" l="1"/>
  <c r="C11" i="8"/>
</calcChain>
</file>

<file path=xl/sharedStrings.xml><?xml version="1.0" encoding="utf-8"?>
<sst xmlns="http://schemas.openxmlformats.org/spreadsheetml/2006/main" count="145" uniqueCount="76">
  <si>
    <t>Date</t>
  </si>
  <si>
    <t>Open</t>
  </si>
  <si>
    <t>High</t>
  </si>
  <si>
    <t>Low</t>
  </si>
  <si>
    <t>% Change from Previous Day's Closing</t>
  </si>
  <si>
    <t>Company Name</t>
  </si>
  <si>
    <t>Purchase Price</t>
  </si>
  <si>
    <t>Sell Price</t>
  </si>
  <si>
    <t># of Shares</t>
  </si>
  <si>
    <t>Close</t>
  </si>
  <si>
    <t>Volume</t>
  </si>
  <si>
    <t>-</t>
  </si>
  <si>
    <t>Grand Total</t>
  </si>
  <si>
    <t>Oct</t>
  </si>
  <si>
    <t>Nov</t>
  </si>
  <si>
    <t>Dec</t>
  </si>
  <si>
    <t>2018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</si>
  <si>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</si>
  <si>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</si>
  <si>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</si>
  <si>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</si>
  <si>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</si>
  <si>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</si>
  <si>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</si>
  <si>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</si>
  <si>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</si>
  <si>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Initial $ Invested</t>
  </si>
  <si>
    <t>Total Profit (Loss)</t>
  </si>
  <si>
    <t>Adj. Close</t>
  </si>
  <si>
    <t>Ticker Symbol</t>
  </si>
  <si>
    <t>AAPL</t>
  </si>
  <si>
    <t>Apple Inc.</t>
  </si>
  <si>
    <t>AMD</t>
  </si>
  <si>
    <t>Advanced Micro Devices, Inc.</t>
  </si>
  <si>
    <t>INTC</t>
  </si>
  <si>
    <t>Intel Corporation</t>
  </si>
  <si>
    <t>NVDA</t>
  </si>
  <si>
    <t>NVIDIA Corporation</t>
  </si>
  <si>
    <t>QCOM</t>
  </si>
  <si>
    <t>QUALCOMM Incorporated</t>
  </si>
  <si>
    <t>ALL COMPANY CLOSINGS</t>
  </si>
  <si>
    <t>2019</t>
  </si>
  <si>
    <t>Average of AAPL</t>
  </si>
  <si>
    <t>Average of AMD</t>
  </si>
  <si>
    <t>Average of INTC</t>
  </si>
  <si>
    <t>Average of NVDA</t>
  </si>
  <si>
    <t>Average of QCOM</t>
  </si>
  <si>
    <t>Month</t>
  </si>
  <si>
    <t>Monthly Averages of Closing Prices</t>
  </si>
  <si>
    <t>Profit (Loss)</t>
  </si>
  <si>
    <t>Total $ Invested</t>
  </si>
  <si>
    <t>Initial $  Invested (Limit: $30,000)</t>
  </si>
  <si>
    <t># of Shares (Limit: 1000)</t>
  </si>
  <si>
    <t>ROI</t>
  </si>
  <si>
    <t>Total ROI</t>
  </si>
  <si>
    <t>Solver Models</t>
  </si>
  <si>
    <t>Manual Distribution</t>
  </si>
  <si>
    <t>Created by Author on 4/7/2019</t>
  </si>
  <si>
    <t>Profit - Intial $ Invested</t>
  </si>
  <si>
    <t>Profit - # of Shares</t>
  </si>
  <si>
    <t>ROI - Initial $ Invested</t>
  </si>
  <si>
    <t>ROI - # of Shares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</si>
  <si>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</si>
  <si>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</si>
  <si>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</si>
  <si>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</si>
  <si>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</si>
  <si>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</si>
  <si>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</si>
  <si>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>AAPL # of Shares</t>
  </si>
  <si>
    <t>AMD # of Shares</t>
  </si>
  <si>
    <t>INTC # of Shares</t>
  </si>
  <si>
    <t>NVDA # of Shares</t>
  </si>
  <si>
    <t>QCOM # of Shares</t>
  </si>
  <si>
    <t>Scenarios</t>
  </si>
  <si>
    <t>Select a Scenario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</si>
</sst>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20"/>
      <color theme="3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onsolas"/>
      <family val="3"/>
    </font>
  </fonts>
  <fills count="11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</fills>
  <borders count="2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theme="4" tint="0.39997558519241921"/>
      </bottom>
      <diagonal/>
    </border>
    <border>
      <left/>
      <right style="thin">
        <color theme="0"/>
      </right>
      <top/>
      <bottom style="medium">
        <color theme="4" tint="0.39997558519241921"/>
      </bottom>
      <diagonal/>
    </border>
    <border>
      <left/>
      <right style="thin">
        <color theme="0"/>
      </right>
      <top style="medium">
        <color theme="4" tint="0.39997558519241921"/>
      </top>
      <bottom style="medium">
        <color theme="4" tint="0.39997558519241921"/>
      </bottom>
      <diagonal/>
    </border>
    <border>
      <left/>
      <right/>
      <top style="medium">
        <color theme="4" tint="0.39997558519241921"/>
      </top>
      <bottom style="medium">
        <color theme="4" tint="0.39997558519241921"/>
      </bottom>
      <diagonal/>
    </border>
    <border>
      <left/>
      <right style="thin">
        <color theme="0"/>
      </right>
      <top style="medium">
        <color theme="4" tint="0.39997558519241921"/>
      </top>
      <bottom/>
      <diagonal/>
    </border>
    <border>
      <left style="thin">
        <color theme="0"/>
      </left>
      <right style="thin">
        <color theme="0"/>
      </right>
      <top style="medium">
        <color theme="4" tint="0.39997558519241921"/>
      </top>
      <bottom/>
      <diagonal/>
    </border>
    <border>
      <left style="thin">
        <color theme="0"/>
      </left>
      <right/>
      <top/>
      <bottom style="medium">
        <color theme="4" tint="0.39997558519241921"/>
      </bottom>
      <diagonal/>
    </border>
    <border>
      <left style="thin">
        <color theme="0"/>
      </left>
      <right/>
      <top style="medium">
        <color theme="4" tint="0.39997558519241921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3" fillId="0" borderId="3" applyNumberFormat="0" applyFill="0" applyAlignment="0" applyProtection="0"/>
  </cellStyleXfs>
  <cellXfs count="54">
    <xf numFmtId="0" fontId="0" fillId="0" borderId="0" xfId="0"/>
    <xf numFmtId="0" fontId="0" fillId="0" borderId="0" xfId="0" applyAlignment="1">
      <alignment horizontal="center"/>
    </xf>
    <xf numFmtId="44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44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 indent="1"/>
    </xf>
    <xf numFmtId="1" fontId="0" fillId="0" borderId="0" xfId="0" applyNumberFormat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4" fontId="0" fillId="0" borderId="0" xfId="1" applyNumberFormat="1" applyFont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0" xfId="0" applyNumberFormat="1" applyAlignment="1">
      <alignment horizontal="center" vertical="center"/>
    </xf>
    <xf numFmtId="0" fontId="4" fillId="0" borderId="0" xfId="2" applyFont="1" applyBorder="1" applyAlignment="1">
      <alignment vertical="center"/>
    </xf>
    <xf numFmtId="0" fontId="0" fillId="0" borderId="0" xfId="0" pivotButton="1" applyAlignment="1">
      <alignment horizontal="center"/>
    </xf>
    <xf numFmtId="0" fontId="0" fillId="0" borderId="10" xfId="0" applyBorder="1"/>
    <xf numFmtId="0" fontId="0" fillId="4" borderId="1" xfId="0" applyFill="1" applyBorder="1"/>
    <xf numFmtId="0" fontId="0" fillId="3" borderId="1" xfId="0" applyFill="1" applyBorder="1"/>
    <xf numFmtId="44" fontId="0" fillId="3" borderId="2" xfId="0" applyNumberFormat="1" applyFill="1" applyBorder="1"/>
    <xf numFmtId="10" fontId="0" fillId="3" borderId="2" xfId="0" applyNumberFormat="1" applyFill="1" applyBorder="1"/>
    <xf numFmtId="0" fontId="2" fillId="5" borderId="12" xfId="0" applyFont="1" applyFill="1" applyBorder="1" applyAlignment="1">
      <alignment horizontal="center" vertical="center" wrapText="1"/>
    </xf>
    <xf numFmtId="0" fontId="0" fillId="0" borderId="0" xfId="0" applyFill="1" applyBorder="1" applyAlignment="1"/>
    <xf numFmtId="1" fontId="0" fillId="0" borderId="0" xfId="0" applyNumberFormat="1" applyFill="1" applyBorder="1" applyAlignment="1"/>
    <xf numFmtId="44" fontId="0" fillId="0" borderId="0" xfId="0" applyNumberFormat="1" applyFill="1" applyBorder="1" applyAlignment="1"/>
    <xf numFmtId="10" fontId="0" fillId="0" borderId="15" xfId="0" applyNumberFormat="1" applyFill="1" applyBorder="1" applyAlignment="1"/>
    <xf numFmtId="0" fontId="5" fillId="6" borderId="16" xfId="0" applyFont="1" applyFill="1" applyBorder="1" applyAlignment="1">
      <alignment horizontal="left"/>
    </xf>
    <xf numFmtId="0" fontId="5" fillId="6" borderId="14" xfId="0" applyFont="1" applyFill="1" applyBorder="1" applyAlignment="1">
      <alignment horizontal="left"/>
    </xf>
    <xf numFmtId="0" fontId="0" fillId="0" borderId="17" xfId="0" applyFill="1" applyBorder="1" applyAlignment="1"/>
    <xf numFmtId="0" fontId="6" fillId="7" borderId="0" xfId="0" applyFont="1" applyFill="1" applyBorder="1" applyAlignment="1">
      <alignment horizontal="left"/>
    </xf>
    <xf numFmtId="0" fontId="7" fillId="7" borderId="17" xfId="0" applyFont="1" applyFill="1" applyBorder="1" applyAlignment="1">
      <alignment horizontal="left"/>
    </xf>
    <xf numFmtId="0" fontId="6" fillId="7" borderId="15" xfId="0" applyFont="1" applyFill="1" applyBorder="1" applyAlignment="1">
      <alignment horizontal="left"/>
    </xf>
    <xf numFmtId="0" fontId="8" fillId="6" borderId="14" xfId="0" applyFont="1" applyFill="1" applyBorder="1" applyAlignment="1">
      <alignment horizontal="right"/>
    </xf>
    <xf numFmtId="0" fontId="8" fillId="6" borderId="16" xfId="0" applyFont="1" applyFill="1" applyBorder="1" applyAlignment="1">
      <alignment horizontal="right"/>
    </xf>
    <xf numFmtId="1" fontId="0" fillId="8" borderId="0" xfId="0" applyNumberFormat="1" applyFill="1" applyBorder="1" applyAlignment="1"/>
    <xf numFmtId="0" fontId="9" fillId="0" borderId="0" xfId="0" applyFont="1" applyFill="1" applyBorder="1" applyAlignment="1">
      <alignment vertical="top" wrapText="1"/>
    </xf>
    <xf numFmtId="0" fontId="2" fillId="9" borderId="18" xfId="0" applyFont="1" applyFill="1" applyBorder="1" applyAlignment="1">
      <alignment horizontal="center"/>
    </xf>
    <xf numFmtId="10" fontId="0" fillId="10" borderId="19" xfId="0" applyNumberFormat="1" applyFont="1" applyFill="1" applyBorder="1" applyAlignment="1">
      <alignment horizontal="center"/>
    </xf>
    <xf numFmtId="0" fontId="3" fillId="0" borderId="3" xfId="2" applyBorder="1" applyAlignment="1">
      <alignment horizontal="right" vertical="center"/>
    </xf>
    <xf numFmtId="0" fontId="3" fillId="0" borderId="4" xfId="2" applyBorder="1" applyAlignment="1">
      <alignment horizontal="right" vertical="center"/>
    </xf>
    <xf numFmtId="0" fontId="3" fillId="0" borderId="6" xfId="2" applyBorder="1" applyAlignment="1">
      <alignment horizontal="right" vertical="center"/>
    </xf>
    <xf numFmtId="0" fontId="3" fillId="0" borderId="5" xfId="2" applyBorder="1" applyAlignment="1">
      <alignment horizontal="right" vertical="center"/>
    </xf>
    <xf numFmtId="0" fontId="3" fillId="0" borderId="9" xfId="2" applyBorder="1" applyAlignment="1">
      <alignment horizontal="left" vertical="center" indent="1"/>
    </xf>
    <xf numFmtId="0" fontId="3" fillId="0" borderId="3" xfId="2" applyBorder="1" applyAlignment="1">
      <alignment horizontal="left" vertical="center" indent="1"/>
    </xf>
    <xf numFmtId="0" fontId="3" fillId="0" borderId="4" xfId="2" applyBorder="1" applyAlignment="1">
      <alignment horizontal="left" vertical="center" indent="1"/>
    </xf>
    <xf numFmtId="0" fontId="3" fillId="0" borderId="3" xfId="2" applyAlignment="1">
      <alignment horizontal="left" vertical="center" indent="1"/>
    </xf>
    <xf numFmtId="0" fontId="4" fillId="0" borderId="0" xfId="2" applyFont="1" applyBorder="1" applyAlignment="1">
      <alignment horizontal="center" vertical="center"/>
    </xf>
    <xf numFmtId="0" fontId="4" fillId="0" borderId="3" xfId="2" applyFont="1" applyBorder="1" applyAlignment="1">
      <alignment horizontal="center" vertical="center"/>
    </xf>
    <xf numFmtId="0" fontId="2" fillId="2" borderId="11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2" fillId="5" borderId="13" xfId="0" applyFont="1" applyFill="1" applyBorder="1" applyAlignment="1">
      <alignment horizontal="center"/>
    </xf>
    <xf numFmtId="0" fontId="2" fillId="5" borderId="12" xfId="0" applyFont="1" applyFill="1" applyBorder="1" applyAlignment="1">
      <alignment horizontal="center"/>
    </xf>
  </cellXfs>
  <cellStyles count="3">
    <cellStyle name="Comma" xfId="1" builtinId="3"/>
    <cellStyle name="Heading 3" xfId="2" builtinId="18"/>
    <cellStyle name="Normal" xfId="0" builtinId="0"/>
  </cellStyles>
  <dxfs count="83">
    <dxf>
      <numFmt numFmtId="14" formatCode="0.00%"/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>
          <bgColor rgb="FFFF5353"/>
        </patternFill>
      </fill>
    </dxf>
    <dxf>
      <font>
        <color auto="1"/>
      </font>
      <fill>
        <patternFill>
          <bgColor rgb="FF81DB92"/>
        </patternFill>
      </fill>
    </dxf>
    <dxf>
      <alignment horizontal="center" readingOrder="0"/>
    </dxf>
    <dxf>
      <alignment horizontal="center" readingOrder="0"/>
    </dxf>
    <dxf>
      <numFmt numFmtId="34" formatCode="_(&quot;$&quot;* #,##0.00_);_(&quot;$&quot;* \(#,##0.00\);_(&quot;$&quot;* &quot;-&quot;??_);_(@_)"/>
    </dxf>
    <dxf>
      <numFmt numFmtId="165" formatCode="&quot;$&quot;#,##0.0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64" formatCode="_(* #,##0_);_(* \(#,##0\);_(* &quot;-&quot;??_);_(@_)"/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rgb="FFC13F3F"/>
        </patternFill>
      </fill>
    </dxf>
    <dxf>
      <numFmt numFmtId="14" formatCode="0.00%"/>
      <alignment horizontal="center" vertical="bottom" textRotation="0" wrapText="0" indent="0" justifyLastLine="0" shrinkToFit="0" readingOrder="0"/>
    </dxf>
    <dxf>
      <numFmt numFmtId="164" formatCode="_(* #,##0_);_(* \(#,##0\);_(* &quot;-&quot;??_);_(@_)"/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rgb="FFC13F3F"/>
        </patternFill>
      </fill>
    </dxf>
    <dxf>
      <numFmt numFmtId="14" formatCode="0.00%"/>
      <alignment horizontal="center" vertical="bottom" textRotation="0" wrapText="0" indent="0" justifyLastLine="0" shrinkToFit="0" readingOrder="0"/>
    </dxf>
    <dxf>
      <numFmt numFmtId="164" formatCode="_(* #,##0_);_(* \(#,##0\);_(* &quot;-&quot;??_);_(@_)"/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rgb="FFC13F3F"/>
        </patternFill>
      </fill>
    </dxf>
    <dxf>
      <numFmt numFmtId="14" formatCode="0.00%"/>
      <alignment horizontal="center" vertical="bottom" textRotation="0" wrapText="0" indent="0" justifyLastLine="0" shrinkToFit="0" readingOrder="0"/>
    </dxf>
    <dxf>
      <numFmt numFmtId="164" formatCode="_(* #,##0_);_(* \(#,##0\);_(* &quot;-&quot;??_);_(@_)"/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rgb="FFC13F3F"/>
        </patternFill>
      </fill>
    </dxf>
    <dxf>
      <numFmt numFmtId="14" formatCode="0.00%"/>
      <alignment horizontal="center" vertical="bottom" textRotation="0" wrapText="0" indent="0" justifyLastLine="0" shrinkToFit="0" readingOrder="0"/>
    </dxf>
    <dxf>
      <numFmt numFmtId="164" formatCode="_(* #,##0_);_(* \(#,##0\);_(* &quot;-&quot;??_);_(@_)"/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rgb="FFC13F3F"/>
        </patternFill>
      </fill>
    </dxf>
  </dxfs>
  <tableStyles count="0" defaultTableStyle="TableStyleMedium2" defaultPivotStyle="PivotStyleLight16"/>
  <colors>
    <mruColors>
      <color rgb="FF81DB92"/>
      <color rgb="FFFF5353"/>
      <color rgb="FFFF3F3F"/>
      <color rgb="FF59CF5F"/>
      <color rgb="FF2B9530"/>
      <color rgb="FFA53535"/>
      <color rgb="FF42682A"/>
      <color rgb="FFC13F3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[Stock Portfolio.xlsm]All Closings - Pivot!PivotTable1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Monthly Averages of Closing Prices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"/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</a:ln>
            <a:effectLst/>
          </c:spPr>
        </c:marker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4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16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'All Closings - Pivot'!$B$2</c:f>
              <c:strCache>
                <c:ptCount val="1"/>
                <c:pt idx="0">
                  <c:v>Average of AAPL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'All Closings - Pivot'!$A$3:$A$18</c:f>
              <c:multiLvlStrCache>
                <c:ptCount val="13"/>
                <c:lvl>
                  <c:pt idx="0">
                    <c:v>Mar</c:v>
                  </c:pt>
                  <c:pt idx="1">
                    <c:v>Apr</c:v>
                  </c:pt>
                  <c:pt idx="2">
                    <c:v>May</c:v>
                  </c:pt>
                  <c:pt idx="3">
                    <c:v>Jun</c:v>
                  </c:pt>
                  <c:pt idx="4">
                    <c:v>Jul</c:v>
                  </c:pt>
                  <c:pt idx="5">
                    <c:v>Aug</c:v>
                  </c:pt>
                  <c:pt idx="6">
                    <c:v>Sep</c:v>
                  </c:pt>
                  <c:pt idx="7">
                    <c:v>Oct</c:v>
                  </c:pt>
                  <c:pt idx="8">
                    <c:v>Nov</c:v>
                  </c:pt>
                  <c:pt idx="9">
                    <c:v>Dec</c:v>
                  </c:pt>
                  <c:pt idx="10">
                    <c:v>Jan</c:v>
                  </c:pt>
                  <c:pt idx="11">
                    <c:v>Feb</c:v>
                  </c:pt>
                  <c:pt idx="12">
                    <c:v>Mar</c:v>
                  </c:pt>
                </c:lvl>
                <c:lvl>
                  <c:pt idx="0">
                    <c:v>2018</c:v>
                  </c:pt>
                  <c:pt idx="10">
                    <c:v>2019</c:v>
                  </c:pt>
                </c:lvl>
              </c:multiLvlStrCache>
            </c:multiLvlStrRef>
          </c:cat>
          <c:val>
            <c:numRef>
              <c:f>'All Closings - Pivot'!$B$3:$B$18</c:f>
              <c:numCache>
                <c:formatCode>_("$"* #,##0.00_);_("$"* \(#,##0.00\);_("$"* "-"??_);_(@_)</c:formatCode>
                <c:ptCount val="13"/>
                <c:pt idx="0">
                  <c:v>168.84249875</c:v>
                </c:pt>
                <c:pt idx="1">
                  <c:v>169.83428652380951</c:v>
                </c:pt>
                <c:pt idx="2">
                  <c:v>185.53681809090909</c:v>
                </c:pt>
                <c:pt idx="3">
                  <c:v>188.62142876190478</c:v>
                </c:pt>
                <c:pt idx="4">
                  <c:v>190.31142904761901</c:v>
                </c:pt>
                <c:pt idx="5">
                  <c:v>213.34608852173915</c:v>
                </c:pt>
                <c:pt idx="6">
                  <c:v>222.0736854210526</c:v>
                </c:pt>
                <c:pt idx="7">
                  <c:v>220.84565204347825</c:v>
                </c:pt>
                <c:pt idx="8">
                  <c:v>191.23571409523808</c:v>
                </c:pt>
                <c:pt idx="9">
                  <c:v>164.26631715789475</c:v>
                </c:pt>
                <c:pt idx="10">
                  <c:v>154.16619</c:v>
                </c:pt>
                <c:pt idx="11">
                  <c:v>171.72789326315791</c:v>
                </c:pt>
                <c:pt idx="12">
                  <c:v>181.65625099999997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7E-43CB-B9CB-0EBB3D3F231A}"/>
            </c:ext>
          </c:extLst>
        </c:ser>
        <c:ser>
          <c:idx val="1"/>
          <c:order val="1"/>
          <c:tx>
            <c:strRef>
              <c:f>'All Closings - Pivot'!$C$2</c:f>
              <c:strCache>
                <c:ptCount val="1"/>
                <c:pt idx="0">
                  <c:v>Average of AMD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'All Closings - Pivot'!$A$3:$A$18</c:f>
              <c:multiLvlStrCache>
                <c:ptCount val="13"/>
                <c:lvl>
                  <c:pt idx="0">
                    <c:v>Mar</c:v>
                  </c:pt>
                  <c:pt idx="1">
                    <c:v>Apr</c:v>
                  </c:pt>
                  <c:pt idx="2">
                    <c:v>May</c:v>
                  </c:pt>
                  <c:pt idx="3">
                    <c:v>Jun</c:v>
                  </c:pt>
                  <c:pt idx="4">
                    <c:v>Jul</c:v>
                  </c:pt>
                  <c:pt idx="5">
                    <c:v>Aug</c:v>
                  </c:pt>
                  <c:pt idx="6">
                    <c:v>Sep</c:v>
                  </c:pt>
                  <c:pt idx="7">
                    <c:v>Oct</c:v>
                  </c:pt>
                  <c:pt idx="8">
                    <c:v>Nov</c:v>
                  </c:pt>
                  <c:pt idx="9">
                    <c:v>Dec</c:v>
                  </c:pt>
                  <c:pt idx="10">
                    <c:v>Jan</c:v>
                  </c:pt>
                  <c:pt idx="11">
                    <c:v>Feb</c:v>
                  </c:pt>
                  <c:pt idx="12">
                    <c:v>Mar</c:v>
                  </c:pt>
                </c:lvl>
                <c:lvl>
                  <c:pt idx="0">
                    <c:v>2018</c:v>
                  </c:pt>
                  <c:pt idx="10">
                    <c:v>2019</c:v>
                  </c:pt>
                </c:lvl>
              </c:multiLvlStrCache>
            </c:multiLvlStrRef>
          </c:cat>
          <c:val>
            <c:numRef>
              <c:f>'All Closings - Pivot'!$C$3:$C$18</c:f>
              <c:numCache>
                <c:formatCode>_("$"* #,##0.00_);_("$"* \(#,##0.00\);_("$"* "-"??_);_(@_)</c:formatCode>
                <c:ptCount val="13"/>
                <c:pt idx="0">
                  <c:v>10.074999999999999</c:v>
                </c:pt>
                <c:pt idx="1">
                  <c:v>10.083809523809524</c:v>
                </c:pt>
                <c:pt idx="2">
                  <c:v>12.444999999999999</c:v>
                </c:pt>
                <c:pt idx="3">
                  <c:v>15.62142866666667</c:v>
                </c:pt>
                <c:pt idx="4">
                  <c:v>16.749047666666669</c:v>
                </c:pt>
                <c:pt idx="5">
                  <c:v>21.050434782608693</c:v>
                </c:pt>
                <c:pt idx="6">
                  <c:v>30.832104999999999</c:v>
                </c:pt>
                <c:pt idx="7">
                  <c:v>24.714347826086961</c:v>
                </c:pt>
                <c:pt idx="8">
                  <c:v>20.396666619047622</c:v>
                </c:pt>
                <c:pt idx="9">
                  <c:v>19.23578942105263</c:v>
                </c:pt>
                <c:pt idx="10">
                  <c:v>20.334761809523812</c:v>
                </c:pt>
                <c:pt idx="11">
                  <c:v>23.604210368421054</c:v>
                </c:pt>
                <c:pt idx="12">
                  <c:v>23.887500062499999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7E-43CB-B9CB-0EBB3D3F231A}"/>
            </c:ext>
          </c:extLst>
        </c:ser>
        <c:ser>
          <c:idx val="2"/>
          <c:order val="2"/>
          <c:tx>
            <c:strRef>
              <c:f>'All Closings - Pivot'!$D$2</c:f>
              <c:strCache>
                <c:ptCount val="1"/>
                <c:pt idx="0">
                  <c:v>Average of INTC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multiLvlStrRef>
              <c:f>'All Closings - Pivot'!$A$3:$A$18</c:f>
              <c:multiLvlStrCache>
                <c:ptCount val="13"/>
                <c:lvl>
                  <c:pt idx="0">
                    <c:v>Mar</c:v>
                  </c:pt>
                  <c:pt idx="1">
                    <c:v>Apr</c:v>
                  </c:pt>
                  <c:pt idx="2">
                    <c:v>May</c:v>
                  </c:pt>
                  <c:pt idx="3">
                    <c:v>Jun</c:v>
                  </c:pt>
                  <c:pt idx="4">
                    <c:v>Jul</c:v>
                  </c:pt>
                  <c:pt idx="5">
                    <c:v>Aug</c:v>
                  </c:pt>
                  <c:pt idx="6">
                    <c:v>Sep</c:v>
                  </c:pt>
                  <c:pt idx="7">
                    <c:v>Oct</c:v>
                  </c:pt>
                  <c:pt idx="8">
                    <c:v>Nov</c:v>
                  </c:pt>
                  <c:pt idx="9">
                    <c:v>Dec</c:v>
                  </c:pt>
                  <c:pt idx="10">
                    <c:v>Jan</c:v>
                  </c:pt>
                  <c:pt idx="11">
                    <c:v>Feb</c:v>
                  </c:pt>
                  <c:pt idx="12">
                    <c:v>Mar</c:v>
                  </c:pt>
                </c:lvl>
                <c:lvl>
                  <c:pt idx="0">
                    <c:v>2018</c:v>
                  </c:pt>
                  <c:pt idx="10">
                    <c:v>2019</c:v>
                  </c:pt>
                </c:lvl>
              </c:multiLvlStrCache>
            </c:multiLvlStrRef>
          </c:cat>
          <c:val>
            <c:numRef>
              <c:f>'All Closings - Pivot'!$D$3:$D$18</c:f>
              <c:numCache>
                <c:formatCode>_("$"* #,##0.00_);_("$"* \(#,##0.00\);_("$"* "-"??_);_(@_)</c:formatCode>
                <c:ptCount val="13"/>
                <c:pt idx="0">
                  <c:v>51.337499749999999</c:v>
                </c:pt>
                <c:pt idx="1">
                  <c:v>51.379047761904758</c:v>
                </c:pt>
                <c:pt idx="2">
                  <c:v>54.263181909090918</c:v>
                </c:pt>
                <c:pt idx="3">
                  <c:v>53.610475999999998</c:v>
                </c:pt>
                <c:pt idx="4">
                  <c:v>51.119047571428553</c:v>
                </c:pt>
                <c:pt idx="5">
                  <c:v>48.361738739130431</c:v>
                </c:pt>
                <c:pt idx="6">
                  <c:v>46.309473736842108</c:v>
                </c:pt>
                <c:pt idx="7">
                  <c:v>45.793912608695656</c:v>
                </c:pt>
                <c:pt idx="8">
                  <c:v>47.847143523809528</c:v>
                </c:pt>
                <c:pt idx="9">
                  <c:v>46.928947947368421</c:v>
                </c:pt>
                <c:pt idx="10">
                  <c:v>47.768095238095235</c:v>
                </c:pt>
                <c:pt idx="11">
                  <c:v>50.887894894736839</c:v>
                </c:pt>
                <c:pt idx="12">
                  <c:v>53.624999250000009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7E-43CB-B9CB-0EBB3D3F231A}"/>
            </c:ext>
          </c:extLst>
        </c:ser>
        <c:ser>
          <c:idx val="3"/>
          <c:order val="3"/>
          <c:tx>
            <c:strRef>
              <c:f>'All Closings - Pivot'!$E$2</c:f>
              <c:strCache>
                <c:ptCount val="1"/>
                <c:pt idx="0">
                  <c:v>Average of NVDA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'All Closings - Pivot'!$A$3:$A$18</c:f>
              <c:multiLvlStrCache>
                <c:ptCount val="13"/>
                <c:lvl>
                  <c:pt idx="0">
                    <c:v>Mar</c:v>
                  </c:pt>
                  <c:pt idx="1">
                    <c:v>Apr</c:v>
                  </c:pt>
                  <c:pt idx="2">
                    <c:v>May</c:v>
                  </c:pt>
                  <c:pt idx="3">
                    <c:v>Jun</c:v>
                  </c:pt>
                  <c:pt idx="4">
                    <c:v>Jul</c:v>
                  </c:pt>
                  <c:pt idx="5">
                    <c:v>Aug</c:v>
                  </c:pt>
                  <c:pt idx="6">
                    <c:v>Sep</c:v>
                  </c:pt>
                  <c:pt idx="7">
                    <c:v>Oct</c:v>
                  </c:pt>
                  <c:pt idx="8">
                    <c:v>Nov</c:v>
                  </c:pt>
                  <c:pt idx="9">
                    <c:v>Dec</c:v>
                  </c:pt>
                  <c:pt idx="10">
                    <c:v>Jan</c:v>
                  </c:pt>
                  <c:pt idx="11">
                    <c:v>Feb</c:v>
                  </c:pt>
                  <c:pt idx="12">
                    <c:v>Mar</c:v>
                  </c:pt>
                </c:lvl>
                <c:lvl>
                  <c:pt idx="0">
                    <c:v>2018</c:v>
                  </c:pt>
                  <c:pt idx="10">
                    <c:v>2019</c:v>
                  </c:pt>
                </c:lvl>
              </c:multiLvlStrCache>
            </c:multiLvlStrRef>
          </c:cat>
          <c:val>
            <c:numRef>
              <c:f>'All Closings - Pivot'!$E$3:$E$18</c:f>
              <c:numCache>
                <c:formatCode>_("$"* #,##0.00_);_("$"* \(#,##0.00\);_("$"* "-"??_);_(@_)</c:formatCode>
                <c:ptCount val="13"/>
                <c:pt idx="0">
                  <c:v>230.73500050000001</c:v>
                </c:pt>
                <c:pt idx="1">
                  <c:v>225.96523971428573</c:v>
                </c:pt>
                <c:pt idx="2">
                  <c:v>246.40090872727276</c:v>
                </c:pt>
                <c:pt idx="3">
                  <c:v>256.46952238095236</c:v>
                </c:pt>
                <c:pt idx="4">
                  <c:v>248.67000033333329</c:v>
                </c:pt>
                <c:pt idx="5">
                  <c:v>260.82739047826084</c:v>
                </c:pt>
                <c:pt idx="6">
                  <c:v>271.91105405263164</c:v>
                </c:pt>
                <c:pt idx="7">
                  <c:v>240.02739086956524</c:v>
                </c:pt>
                <c:pt idx="8">
                  <c:v>181.20476133333335</c:v>
                </c:pt>
                <c:pt idx="9">
                  <c:v>143.65999963157893</c:v>
                </c:pt>
                <c:pt idx="10">
                  <c:v>144.99380814285715</c:v>
                </c:pt>
                <c:pt idx="11">
                  <c:v>153.1805258947368</c:v>
                </c:pt>
                <c:pt idx="12">
                  <c:v>164.36562443749997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7E-43CB-B9CB-0EBB3D3F231A}"/>
            </c:ext>
          </c:extLst>
        </c:ser>
        <c:ser>
          <c:idx val="4"/>
          <c:order val="4"/>
          <c:tx>
            <c:strRef>
              <c:f>'All Closings - Pivot'!$F$2</c:f>
              <c:strCache>
                <c:ptCount val="1"/>
                <c:pt idx="0">
                  <c:v>Average of QCOM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cat>
            <c:multiLvlStrRef>
              <c:f>'All Closings - Pivot'!$A$3:$A$18</c:f>
              <c:multiLvlStrCache>
                <c:ptCount val="13"/>
                <c:lvl>
                  <c:pt idx="0">
                    <c:v>Mar</c:v>
                  </c:pt>
                  <c:pt idx="1">
                    <c:v>Apr</c:v>
                  </c:pt>
                  <c:pt idx="2">
                    <c:v>May</c:v>
                  </c:pt>
                  <c:pt idx="3">
                    <c:v>Jun</c:v>
                  </c:pt>
                  <c:pt idx="4">
                    <c:v>Jul</c:v>
                  </c:pt>
                  <c:pt idx="5">
                    <c:v>Aug</c:v>
                  </c:pt>
                  <c:pt idx="6">
                    <c:v>Sep</c:v>
                  </c:pt>
                  <c:pt idx="7">
                    <c:v>Oct</c:v>
                  </c:pt>
                  <c:pt idx="8">
                    <c:v>Nov</c:v>
                  </c:pt>
                  <c:pt idx="9">
                    <c:v>Dec</c:v>
                  </c:pt>
                  <c:pt idx="10">
                    <c:v>Jan</c:v>
                  </c:pt>
                  <c:pt idx="11">
                    <c:v>Feb</c:v>
                  </c:pt>
                  <c:pt idx="12">
                    <c:v>Mar</c:v>
                  </c:pt>
                </c:lvl>
                <c:lvl>
                  <c:pt idx="0">
                    <c:v>2018</c:v>
                  </c:pt>
                  <c:pt idx="10">
                    <c:v>2019</c:v>
                  </c:pt>
                </c:lvl>
              </c:multiLvlStrCache>
            </c:multiLvlStrRef>
          </c:cat>
          <c:val>
            <c:numRef>
              <c:f>'All Closings - Pivot'!$F$3:$F$18</c:f>
              <c:numCache>
                <c:formatCode>_("$"* #,##0.00_);_("$"* \(#,##0.00\);_("$"* "-"??_);_(@_)</c:formatCode>
                <c:ptCount val="13"/>
                <c:pt idx="0">
                  <c:v>55.270000500000002</c:v>
                </c:pt>
                <c:pt idx="1">
                  <c:v>53.240476000000001</c:v>
                </c:pt>
                <c:pt idx="2">
                  <c:v>55.652727136363644</c:v>
                </c:pt>
                <c:pt idx="3">
                  <c:v>58.568095285714293</c:v>
                </c:pt>
                <c:pt idx="4">
                  <c:v>59.087618809523811</c:v>
                </c:pt>
                <c:pt idx="5">
                  <c:v>66.315217391304344</c:v>
                </c:pt>
                <c:pt idx="6">
                  <c:v>72.63315742105263</c:v>
                </c:pt>
                <c:pt idx="7">
                  <c:v>66.716956173913033</c:v>
                </c:pt>
                <c:pt idx="8">
                  <c:v>57.649524000000007</c:v>
                </c:pt>
                <c:pt idx="9">
                  <c:v>56.847368368421066</c:v>
                </c:pt>
                <c:pt idx="10">
                  <c:v>54.249523809523801</c:v>
                </c:pt>
                <c:pt idx="11">
                  <c:v>51.683157736842105</c:v>
                </c:pt>
                <c:pt idx="12">
                  <c:v>55.400624749999999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7E-43CB-B9CB-0EBB3D3F2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8303504"/>
        <c:axId val="1418308912"/>
      </c:lineChart>
      <c:catAx>
        <c:axId val="141830350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418308912"/>
        <c:crosses val="autoZero"/>
        <c:auto val="1"/>
        <c:lblAlgn val="ctr"/>
        <c:lblOffset val="100"/>
        <c:noMultiLvlLbl val="0"/>
      </c:catAx>
      <c:valAx>
        <c:axId val="1418308912"/>
        <c:scaling>
          <c:orientation val="minMax"/>
          <c:max val="280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Average Closing Price (USD)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418303504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>
                    <a:lumMod val="85000"/>
                    <a:lumOff val="15000"/>
                  </a:schemeClr>
                </a:solidFill>
              </a:rPr>
              <a:t>% of</a:t>
            </a:r>
            <a:r>
              <a:rPr lang="en-US" baseline="0">
                <a:solidFill>
                  <a:schemeClr val="tx1">
                    <a:lumMod val="85000"/>
                    <a:lumOff val="15000"/>
                  </a:schemeClr>
                </a:solidFill>
              </a:rPr>
              <a:t> Portfolio (Shares)</a:t>
            </a:r>
            <a:endParaRPr lang="en-US">
              <a:solidFill>
                <a:schemeClr val="tx1">
                  <a:lumMod val="85000"/>
                  <a:lumOff val="15000"/>
                </a:schemeClr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85000"/>
                  <a:lumOff val="1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61770526943993"/>
          <c:y val="0.19837760650284592"/>
          <c:w val="0.76289700446376918"/>
          <c:h val="0.77549181015901303"/>
        </c:manualLayout>
      </c:layout>
      <c:pieChart>
        <c:varyColors val="1"/>
        <c:ser>
          <c:idx val="0"/>
          <c:order val="0"/>
          <c:tx>
            <c:strRef>
              <c:f>'Portfolio Analysis'!$D$1</c:f>
              <c:strCache>
                <c:ptCount val="1"/>
                <c:pt idx="0">
                  <c:v># of Shares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3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D32-4107-BB5D-27DD4DA6B29F}"/>
              </c:ext>
            </c:extLst>
          </c:dPt>
          <c:dPt>
            <c:idx val="1"/>
            <c:bubble3D val="0"/>
            <c:spPr>
              <a:solidFill>
                <a:schemeClr val="accent5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D32-4107-BB5D-27DD4DA6B29F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D32-4107-BB5D-27DD4DA6B29F}"/>
              </c:ext>
            </c:extLst>
          </c:dPt>
          <c:dPt>
            <c:idx val="3"/>
            <c:bubble3D val="0"/>
            <c:spPr>
              <a:solidFill>
                <a:schemeClr val="accent5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D32-4107-BB5D-27DD4DA6B29F}"/>
              </c:ext>
            </c:extLst>
          </c:dPt>
          <c:dPt>
            <c:idx val="4"/>
            <c:bubble3D val="0"/>
            <c:spPr>
              <a:solidFill>
                <a:schemeClr val="accent5">
                  <a:tint val="54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D32-4107-BB5D-27DD4DA6B29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'Portfolio Analysis'!$A$2:$A$6</c:f>
              <c:strCache>
                <c:ptCount val="5"/>
                <c:pt idx="0">
                  <c:v>AAPL</c:v>
                </c:pt>
                <c:pt idx="1">
                  <c:v>AMD</c:v>
                </c:pt>
                <c:pt idx="2">
                  <c:v>INTC</c:v>
                </c:pt>
                <c:pt idx="3">
                  <c:v>NVDA</c:v>
                </c:pt>
                <c:pt idx="4">
                  <c:v>QCOM</c:v>
                </c:pt>
              </c:strCache>
            </c:strRef>
          </c:cat>
          <c:val>
            <c:numRef>
              <c:f>'Portfolio Analysis'!$D$2:$D$6</c:f>
              <c:numCache>
                <c:formatCode>0</c:formatCode>
                <c:ptCount val="5"/>
                <c:pt idx="0">
                  <c:v>235</c:v>
                </c:pt>
                <c:pt idx="1">
                  <c:v>514</c:v>
                </c:pt>
                <c:pt idx="2">
                  <c:v>236</c:v>
                </c:pt>
                <c:pt idx="3">
                  <c:v>150</c:v>
                </c:pt>
                <c:pt idx="4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F-458F-AC26-A9B79349B0CE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>
        <a:lumMod val="50000"/>
        <a:lumOff val="50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>
                    <a:lumMod val="85000"/>
                    <a:lumOff val="15000"/>
                  </a:schemeClr>
                </a:solidFill>
              </a:rPr>
              <a:t>% of</a:t>
            </a:r>
            <a:r>
              <a:rPr lang="en-US" baseline="0">
                <a:solidFill>
                  <a:schemeClr val="tx1">
                    <a:lumMod val="85000"/>
                    <a:lumOff val="15000"/>
                  </a:schemeClr>
                </a:solidFill>
              </a:rPr>
              <a:t> Portfolio ($ Invested)</a:t>
            </a:r>
            <a:endParaRPr lang="en-US">
              <a:solidFill>
                <a:schemeClr val="tx1">
                  <a:lumMod val="85000"/>
                  <a:lumOff val="15000"/>
                </a:schemeClr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85000"/>
                  <a:lumOff val="1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43340736254124"/>
          <c:y val="0.21658442694663166"/>
          <c:w val="0.73978248872737062"/>
          <c:h val="0.73978248872737062"/>
        </c:manualLayout>
      </c:layout>
      <c:pieChart>
        <c:varyColors val="1"/>
        <c:ser>
          <c:idx val="0"/>
          <c:order val="0"/>
          <c:tx>
            <c:strRef>
              <c:f>'Portfolio Analysis'!$E$1</c:f>
              <c:strCache>
                <c:ptCount val="1"/>
                <c:pt idx="0">
                  <c:v>Initial $ Invested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3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4E8-4CF4-8D5F-F0476B9AB4DF}"/>
              </c:ext>
            </c:extLst>
          </c:dPt>
          <c:dPt>
            <c:idx val="1"/>
            <c:bubble3D val="0"/>
            <c:spPr>
              <a:solidFill>
                <a:schemeClr val="accent5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4E8-4CF4-8D5F-F0476B9AB4DF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4E8-4CF4-8D5F-F0476B9AB4DF}"/>
              </c:ext>
            </c:extLst>
          </c:dPt>
          <c:dPt>
            <c:idx val="3"/>
            <c:bubble3D val="0"/>
            <c:spPr>
              <a:solidFill>
                <a:schemeClr val="accent5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4E8-4CF4-8D5F-F0476B9AB4DF}"/>
              </c:ext>
            </c:extLst>
          </c:dPt>
          <c:dPt>
            <c:idx val="4"/>
            <c:bubble3D val="0"/>
            <c:spPr>
              <a:solidFill>
                <a:schemeClr val="accent5">
                  <a:tint val="54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4E8-4CF4-8D5F-F0476B9AB4D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'Portfolio Analysis'!$A$2:$A$6</c:f>
              <c:strCache>
                <c:ptCount val="5"/>
                <c:pt idx="0">
                  <c:v>AAPL</c:v>
                </c:pt>
                <c:pt idx="1">
                  <c:v>AMD</c:v>
                </c:pt>
                <c:pt idx="2">
                  <c:v>INTC</c:v>
                </c:pt>
                <c:pt idx="3">
                  <c:v>NVDA</c:v>
                </c:pt>
                <c:pt idx="4">
                  <c:v>QCOM</c:v>
                </c:pt>
              </c:strCache>
            </c:strRef>
          </c:cat>
          <c:val>
            <c:numRef>
              <c:f>'Portfolio Analysis'!$E$2:$E$6</c:f>
              <c:numCache>
                <c:formatCode>_("$"* #,##0.00_);_("$"* \(#,##0.00\);_("$"* "-"??_);_(@_)</c:formatCode>
                <c:ptCount val="5"/>
                <c:pt idx="0">
                  <c:v>39496.451645000001</c:v>
                </c:pt>
                <c:pt idx="1">
                  <c:v>5504.9400000000005</c:v>
                </c:pt>
                <c:pt idx="2">
                  <c:v>11974.640471999999</c:v>
                </c:pt>
                <c:pt idx="3">
                  <c:v>35700</c:v>
                </c:pt>
                <c:pt idx="4">
                  <c:v>7313.720268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4E8-4CF4-8D5F-F0476B9AB4DF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>
        <a:lumMod val="50000"/>
        <a:lumOff val="50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33336</xdr:colOff>
      <xdr:row>19</xdr:row>
      <xdr:rowOff>38100</xdr:rowOff>
    </xdr:from>
    <xdr:to>
      <xdr:col>12</xdr:col>
      <xdr:colOff>590550</xdr:colOff>
      <xdr:row>49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0</xdr:row>
          <xdr:rowOff>47625</xdr:rowOff>
        </xdr:from>
        <xdr:to>
          <xdr:col>0</xdr:col>
          <xdr:colOff>1609725</xdr:colOff>
          <xdr:row>0</xdr:row>
          <xdr:rowOff>285750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onsolas"/>
                </a:rPr>
                <a:t>Update Lists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onsolas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18</xdr:row>
      <xdr:rowOff>104773</xdr:rowOff>
    </xdr:from>
    <xdr:to>
      <xdr:col>3</xdr:col>
      <xdr:colOff>485775</xdr:colOff>
      <xdr:row>38</xdr:row>
      <xdr:rowOff>5414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609600</xdr:colOff>
      <xdr:row>18</xdr:row>
      <xdr:rowOff>114300</xdr:rowOff>
    </xdr:from>
    <xdr:to>
      <xdr:col>7</xdr:col>
      <xdr:colOff>85725</xdr:colOff>
      <xdr:row>38</xdr:row>
      <xdr:rowOff>19050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Stock%20Portfolio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3560.928819791669" createdVersion="6" refreshedVersion="6" minRefreshableVersion="3" recordCount="250">
  <cacheSource type="worksheet">
    <worksheetSource name="Closings" r:id="rId2"/>
  </cacheSource>
  <cacheFields count="8">
    <cacheField name="Date" numFmtId="14">
      <sharedItems containsSemiMixedTypes="0" containsNonDate="0" containsDate="1" containsString="0" minDate="2018-03-26T00:00:00" maxDate="2019-03-23T00:00:00" count="250">
        <d v="2018-03-26T00:00:00"/>
        <d v="2018-03-27T00:00:00"/>
        <d v="2018-03-28T00:00:00"/>
        <d v="2018-03-29T00:00:00"/>
        <d v="2018-04-02T00:00:00"/>
        <d v="2018-04-03T00:00:00"/>
        <d v="2018-04-04T00:00:00"/>
        <d v="2018-04-05T00:00:00"/>
        <d v="2018-04-06T00:00:00"/>
        <d v="2018-04-09T00:00:00"/>
        <d v="2018-04-10T00:00:00"/>
        <d v="2018-04-11T00:00:00"/>
        <d v="2018-04-12T00:00:00"/>
        <d v="2018-04-13T00:00:00"/>
        <d v="2018-04-16T00:00:00"/>
        <d v="2018-04-17T00:00:00"/>
        <d v="2018-04-18T00:00:00"/>
        <d v="2018-04-19T00:00:00"/>
        <d v="2018-04-20T00:00:00"/>
        <d v="2018-04-23T00:00:00"/>
        <d v="2018-04-24T00:00:00"/>
        <d v="2018-04-25T00:00:00"/>
        <d v="2018-04-26T00:00:00"/>
        <d v="2018-04-27T00:00:00"/>
        <d v="2018-04-30T00:00:00"/>
        <d v="2018-05-01T00:00:00"/>
        <d v="2018-05-02T00:00:00"/>
        <d v="2018-05-03T00:00:00"/>
        <d v="2018-05-04T00:00:00"/>
        <d v="2018-05-07T00:00:00"/>
        <d v="2018-05-08T00:00:00"/>
        <d v="2018-05-09T00:00:00"/>
        <d v="2018-05-10T00:00:00"/>
        <d v="2018-05-11T00:00:00"/>
        <d v="2018-05-14T00:00:00"/>
        <d v="2018-05-15T00:00:00"/>
        <d v="2018-05-16T00:00:00"/>
        <d v="2018-05-17T00:00:00"/>
        <d v="2018-05-18T00:00:00"/>
        <d v="2018-05-21T00:00:00"/>
        <d v="2018-05-22T00:00:00"/>
        <d v="2018-05-23T00:00:00"/>
        <d v="2018-05-24T00:00:00"/>
        <d v="2018-05-25T00:00:00"/>
        <d v="2018-05-29T00:00:00"/>
        <d v="2018-05-30T00:00:00"/>
        <d v="2018-05-31T00:00:00"/>
        <d v="2018-06-01T00:00:00"/>
        <d v="2018-06-04T00:00:00"/>
        <d v="2018-06-05T00:00:00"/>
        <d v="2018-06-06T00:00:00"/>
        <d v="2018-06-07T00:00:00"/>
        <d v="2018-06-08T00:00:00"/>
        <d v="2018-06-11T00:00:00"/>
        <d v="2018-06-12T00:00:00"/>
        <d v="2018-06-13T00:00:00"/>
        <d v="2018-06-14T00:00:00"/>
        <d v="2018-06-15T00:00:00"/>
        <d v="2018-06-18T00:00:00"/>
        <d v="2018-06-19T00:00:00"/>
        <d v="2018-06-20T00:00:00"/>
        <d v="2018-06-21T00:00:00"/>
        <d v="2018-06-22T00:00:00"/>
        <d v="2018-06-25T00:00:00"/>
        <d v="2018-06-26T00:00:00"/>
        <d v="2018-06-27T00:00:00"/>
        <d v="2018-06-28T00:00:00"/>
        <d v="2018-06-29T00:00:00"/>
        <d v="2018-07-02T00:00:00"/>
        <d v="2018-07-03T00:00:00"/>
        <d v="2018-07-05T00:00:00"/>
        <d v="2018-07-06T00:00:00"/>
        <d v="2018-07-09T00:00:00"/>
        <d v="2018-07-10T00:00:00"/>
        <d v="2018-07-11T00:00:00"/>
        <d v="2018-07-12T00:00:00"/>
        <d v="2018-07-13T00:00:00"/>
        <d v="2018-07-16T00:00:00"/>
        <d v="2018-07-17T00:00:00"/>
        <d v="2018-07-18T00:00:00"/>
        <d v="2018-07-19T00:00:00"/>
        <d v="2018-07-20T00:00:00"/>
        <d v="2018-07-23T00:00:00"/>
        <d v="2018-07-24T00:00:00"/>
        <d v="2018-07-25T00:00:00"/>
        <d v="2018-07-26T00:00:00"/>
        <d v="2018-07-27T00:00:00"/>
        <d v="2018-07-30T00:00:00"/>
        <d v="2018-07-31T00:00:00"/>
        <d v="2018-08-01T00:00:00"/>
        <d v="2018-08-02T00:00:00"/>
        <d v="2018-08-03T00:00:00"/>
        <d v="2018-08-06T00:00:00"/>
        <d v="2018-08-07T00:00:00"/>
        <d v="2018-08-08T00:00:00"/>
        <d v="2018-08-09T00:00:00"/>
        <d v="2018-08-10T00:00:00"/>
        <d v="2018-08-13T00:00:00"/>
        <d v="2018-08-14T00:00:00"/>
        <d v="2018-08-15T00:00:00"/>
        <d v="2018-08-16T00:00:00"/>
        <d v="2018-08-17T00:00:00"/>
        <d v="2018-08-20T00:00:00"/>
        <d v="2018-08-21T00:00:00"/>
        <d v="2018-08-22T00:00:00"/>
        <d v="2018-08-23T00:00:00"/>
        <d v="2018-08-24T00:00:00"/>
        <d v="2018-08-27T00:00:00"/>
        <d v="2018-08-28T00:00:00"/>
        <d v="2018-08-29T00:00:00"/>
        <d v="2018-08-30T00:00:00"/>
        <d v="2018-08-31T00:00:00"/>
        <d v="2018-09-04T00:00:00"/>
        <d v="2018-09-05T00:00:00"/>
        <d v="2018-09-06T00:00:00"/>
        <d v="2018-09-07T00:00:00"/>
        <d v="2018-09-10T00:00:00"/>
        <d v="2018-09-11T00:00:00"/>
        <d v="2018-09-12T00:00:00"/>
        <d v="2018-09-13T00:00:00"/>
        <d v="2018-09-14T00:00:00"/>
        <d v="2018-09-17T00:00:00"/>
        <d v="2018-09-18T00:00:00"/>
        <d v="2018-09-19T00:00:00"/>
        <d v="2018-09-20T00:00:00"/>
        <d v="2018-09-21T00:00:00"/>
        <d v="2018-09-24T00:00:00"/>
        <d v="2018-09-25T00:00:00"/>
        <d v="2018-09-26T00:00:00"/>
        <d v="2018-09-27T00:00:00"/>
        <d v="2018-09-28T00:00:00"/>
        <d v="2018-10-01T00:00:00"/>
        <d v="2018-10-02T00:00:00"/>
        <d v="2018-10-03T00:00:00"/>
        <d v="2018-10-04T00:00:00"/>
        <d v="2018-10-05T00:00:00"/>
        <d v="2018-10-08T00:00:00"/>
        <d v="2018-10-09T00:00:00"/>
        <d v="2018-10-10T00:00:00"/>
        <d v="2018-10-11T00:00:00"/>
        <d v="2018-10-12T00:00:00"/>
        <d v="2018-10-15T00:00:00"/>
        <d v="2018-10-16T00:00:00"/>
        <d v="2018-10-17T00:00:00"/>
        <d v="2018-10-18T00:00:00"/>
        <d v="2018-10-19T00:00:00"/>
        <d v="2018-10-22T00:00:00"/>
        <d v="2018-10-23T00:00:00"/>
        <d v="2018-10-24T00:00:00"/>
        <d v="2018-10-25T00:00:00"/>
        <d v="2018-10-26T00:00:00"/>
        <d v="2018-10-29T00:00:00"/>
        <d v="2018-10-30T00:00:00"/>
        <d v="2018-10-31T00:00:00"/>
        <d v="2018-11-01T00:00:00"/>
        <d v="2018-11-02T00:00:00"/>
        <d v="2018-11-05T00:00:00"/>
        <d v="2018-11-06T00:00:00"/>
        <d v="2018-11-07T00:00:00"/>
        <d v="2018-11-08T00:00:00"/>
        <d v="2018-11-09T00:00:00"/>
        <d v="2018-11-12T00:00:00"/>
        <d v="2018-11-13T00:00:00"/>
        <d v="2018-11-14T00:00:00"/>
        <d v="2018-11-15T00:00:00"/>
        <d v="2018-11-16T00:00:00"/>
        <d v="2018-11-19T00:00:00"/>
        <d v="2018-11-20T00:00:00"/>
        <d v="2018-11-21T00:00:00"/>
        <d v="2018-11-23T00:00:00"/>
        <d v="2018-11-26T00:00:00"/>
        <d v="2018-11-27T00:00:00"/>
        <d v="2018-11-28T00:00:00"/>
        <d v="2018-11-29T00:00:00"/>
        <d v="2018-11-30T00:00:00"/>
        <d v="2018-12-03T00:00:00"/>
        <d v="2018-12-04T00:00:00"/>
        <d v="2018-12-06T00:00:00"/>
        <d v="2018-12-07T00:00:00"/>
        <d v="2018-12-10T00:00:00"/>
        <d v="2018-12-11T00:00:00"/>
        <d v="2018-12-12T00:00:00"/>
        <d v="2018-12-13T00:00:00"/>
        <d v="2018-12-14T00:00:00"/>
        <d v="2018-12-17T00:00:00"/>
        <d v="2018-12-18T00:00:00"/>
        <d v="2018-12-19T00:00:00"/>
        <d v="2018-12-20T00:00:00"/>
        <d v="2018-12-21T00:00:00"/>
        <d v="2018-12-24T00:00:00"/>
        <d v="2018-12-26T00:00:00"/>
        <d v="2018-12-27T00:00:00"/>
        <d v="2018-12-28T00:00:00"/>
        <d v="2018-12-31T00:00:00"/>
        <d v="2019-01-02T00:00:00"/>
        <d v="2019-01-03T00:00:00"/>
        <d v="2019-01-04T00:00:00"/>
        <d v="2019-01-07T00:00:00"/>
        <d v="2019-01-08T00:00:00"/>
        <d v="2019-01-09T00:00:00"/>
        <d v="2019-01-10T00:00:00"/>
        <d v="2019-01-11T00:00:00"/>
        <d v="2019-01-14T00:00:00"/>
        <d v="2019-01-15T00:00:00"/>
        <d v="2019-01-16T00:00:00"/>
        <d v="2019-01-17T00:00:00"/>
        <d v="2019-01-18T00:00:00"/>
        <d v="2019-01-22T00:00:00"/>
        <d v="2019-01-23T00:00:00"/>
        <d v="2019-01-24T00:00:00"/>
        <d v="2019-01-25T00:00:00"/>
        <d v="2019-01-28T00:00:00"/>
        <d v="2019-01-29T00:00:00"/>
        <d v="2019-01-30T00:00:00"/>
        <d v="2019-01-31T00:00:00"/>
        <d v="2019-02-01T00:00:00"/>
        <d v="2019-02-04T00:00:00"/>
        <d v="2019-02-05T00:00:00"/>
        <d v="2019-02-06T00:00:00"/>
        <d v="2019-02-07T00:00:00"/>
        <d v="2019-02-08T00:00:00"/>
        <d v="2019-02-11T00:00:00"/>
        <d v="2019-02-12T00:00:00"/>
        <d v="2019-02-13T00:00:00"/>
        <d v="2019-02-14T00:00:00"/>
        <d v="2019-02-15T00:00:00"/>
        <d v="2019-02-19T00:00:00"/>
        <d v="2019-02-20T00:00:00"/>
        <d v="2019-02-21T00:00:00"/>
        <d v="2019-02-22T00:00:00"/>
        <d v="2019-02-25T00:00:00"/>
        <d v="2019-02-26T00:00:00"/>
        <d v="2019-02-27T00:00:00"/>
        <d v="2019-02-28T00:00:00"/>
        <d v="2019-03-01T00:00:00"/>
        <d v="2019-03-04T00:00:00"/>
        <d v="2019-03-05T00:00:00"/>
        <d v="2019-03-06T00:00:00"/>
        <d v="2019-03-07T00:00:00"/>
        <d v="2019-03-08T00:00:00"/>
        <d v="2019-03-11T00:00:00"/>
        <d v="2019-03-12T00:00:00"/>
        <d v="2019-03-13T00:00:00"/>
        <d v="2019-03-14T00:00:00"/>
        <d v="2019-03-15T00:00:00"/>
        <d v="2019-03-18T00:00:00"/>
        <d v="2019-03-19T00:00:00"/>
        <d v="2019-03-20T00:00:00"/>
        <d v="2019-03-21T00:00:00"/>
        <d v="2019-03-22T00:00:00"/>
      </sharedItems>
      <fieldGroup par="7" base="0">
        <rangePr groupBy="months" startDate="2018-03-26T00:00:00" endDate="2019-03-23T00:00:00"/>
        <groupItems count="14">
          <s v="&lt;3/26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23/2019"/>
        </groupItems>
      </fieldGroup>
    </cacheField>
    <cacheField name="AAPL" numFmtId="44">
      <sharedItems containsSemiMixedTypes="0" containsString="0" containsNumber="1" minValue="142.19000199999999" maxValue="232.070007"/>
    </cacheField>
    <cacheField name="AMD" numFmtId="44">
      <sharedItems containsSemiMixedTypes="0" containsString="0" containsNumber="1" minValue="9.5299999999999994" maxValue="32.720001000000003"/>
    </cacheField>
    <cacheField name="INTC" numFmtId="44">
      <sharedItems containsSemiMixedTypes="0" containsString="0" containsNumber="1" minValue="42.419998" maxValue="57.080002"/>
    </cacheField>
    <cacheField name="NVDA" numFmtId="44">
      <sharedItems containsSemiMixedTypes="0" containsString="0" containsNumber="1" minValue="127.08000199999999" maxValue="289.35998499999999"/>
    </cacheField>
    <cacheField name="QCOM" numFmtId="44">
      <sharedItems containsSemiMixedTypes="0" containsString="0" containsNumber="1" minValue="49.400002000000001" maxValue="75.089995999999999"/>
    </cacheField>
    <cacheField name="Quarters" numFmtId="0" databaseField="0">
      <fieldGroup base="0">
        <rangePr groupBy="quarters" startDate="2018-03-26T00:00:00" endDate="2019-03-23T00:00:00"/>
        <groupItems count="6">
          <s v="&lt;3/26/2018"/>
          <s v="Qtr1"/>
          <s v="Qtr2"/>
          <s v="Qtr3"/>
          <s v="Qtr4"/>
          <s v="&gt;3/23/2019"/>
        </groupItems>
      </fieldGroup>
    </cacheField>
    <cacheField name="Years" numFmtId="0" databaseField="0">
      <fieldGroup base="0">
        <rangePr groupBy="years" startDate="2018-03-26T00:00:00" endDate="2019-03-23T00:00:00"/>
        <groupItems count="4">
          <s v="&lt;3/26/2018"/>
          <s v="2018"/>
          <s v="2019"/>
          <s v="&gt;3/23/201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0">
  <r>
    <x v="0"/>
    <n v="172.770004"/>
    <n v="10.44"/>
    <n v="52.48"/>
    <n v="244.479996"/>
    <n v="56.130001"/>
  </r>
  <r>
    <x v="1"/>
    <n v="168.33999600000001"/>
    <n v="10"/>
    <n v="51.189999"/>
    <n v="225.520004"/>
    <n v="54.84"/>
  </r>
  <r>
    <x v="2"/>
    <n v="166.479996"/>
    <n v="9.81"/>
    <n v="49.599997999999999"/>
    <n v="221.35000600000001"/>
    <n v="54.700001"/>
  </r>
  <r>
    <x v="3"/>
    <n v="167.779999"/>
    <n v="10.050000000000001"/>
    <n v="52.080002"/>
    <n v="231.58999600000001"/>
    <n v="55.41"/>
  </r>
  <r>
    <x v="4"/>
    <n v="166.679993"/>
    <n v="9.5299999999999994"/>
    <n v="48.919998"/>
    <n v="221.050003"/>
    <n v="53.810001"/>
  </r>
  <r>
    <x v="5"/>
    <n v="168.38999899999999"/>
    <n v="9.5500000000000007"/>
    <n v="49.75"/>
    <n v="225.35000600000001"/>
    <n v="54.779998999999997"/>
  </r>
  <r>
    <x v="6"/>
    <n v="171.61000100000001"/>
    <n v="9.77"/>
    <n v="49.990001999999997"/>
    <n v="226.240005"/>
    <n v="54.990001999999997"/>
  </r>
  <r>
    <x v="7"/>
    <n v="172.800003"/>
    <n v="10.02"/>
    <n v="50.380001"/>
    <n v="221.38000500000001"/>
    <n v="55.040000999999997"/>
  </r>
  <r>
    <x v="8"/>
    <n v="168.38000500000001"/>
    <n v="9.61"/>
    <n v="48.790000999999997"/>
    <n v="214.25"/>
    <n v="53.119999"/>
  </r>
  <r>
    <x v="9"/>
    <n v="170.050003"/>
    <n v="9.5299999999999994"/>
    <n v="49.549999"/>
    <n v="215.41000399999999"/>
    <n v="53.43"/>
  </r>
  <r>
    <x v="10"/>
    <n v="173.25"/>
    <n v="9.98"/>
    <n v="51.27"/>
    <n v="227.91000399999999"/>
    <n v="54.77"/>
  </r>
  <r>
    <x v="11"/>
    <n v="172.44000199999999"/>
    <n v="9.82"/>
    <n v="51.099997999999999"/>
    <n v="226.240005"/>
    <n v="55.009998000000003"/>
  </r>
  <r>
    <x v="12"/>
    <n v="174.13999899999999"/>
    <n v="10.08"/>
    <n v="52.720001000000003"/>
    <n v="234.60000600000001"/>
    <n v="55.200001"/>
  </r>
  <r>
    <x v="13"/>
    <n v="174.729996"/>
    <n v="9.93"/>
    <n v="51.860000999999997"/>
    <n v="231.5"/>
    <n v="55.73"/>
  </r>
  <r>
    <x v="14"/>
    <n v="175.820007"/>
    <n v="10.09"/>
    <n v="52.400002000000001"/>
    <n v="231.490005"/>
    <n v="54.77"/>
  </r>
  <r>
    <x v="15"/>
    <n v="178.240005"/>
    <n v="10.52"/>
    <n v="53.540000999999997"/>
    <n v="237.53999300000001"/>
    <n v="55.349997999999999"/>
  </r>
  <r>
    <x v="16"/>
    <n v="177.83999600000001"/>
    <n v="10.36"/>
    <n v="53.610000999999997"/>
    <n v="236.36999499999999"/>
    <n v="55.23"/>
  </r>
  <r>
    <x v="17"/>
    <n v="172.800003"/>
    <n v="10.11"/>
    <n v="52.220001000000003"/>
    <n v="229.03999300000001"/>
    <n v="52.57"/>
  </r>
  <r>
    <x v="18"/>
    <n v="165.720001"/>
    <n v="9.99"/>
    <n v="51.529998999999997"/>
    <n v="228.71000699999999"/>
    <n v="51.439999"/>
  </r>
  <r>
    <x v="19"/>
    <n v="165.240005"/>
    <n v="10.039999999999999"/>
    <n v="51.099997999999999"/>
    <n v="223.88000500000001"/>
    <n v="50.529998999999997"/>
  </r>
  <r>
    <x v="20"/>
    <n v="162.94000199999999"/>
    <n v="10.09"/>
    <n v="51.450001"/>
    <n v="221.199997"/>
    <n v="49.939999"/>
  </r>
  <r>
    <x v="21"/>
    <n v="163.64999399999999"/>
    <n v="9.7100000000000009"/>
    <n v="51.380001"/>
    <n v="216.66000399999999"/>
    <n v="49.75"/>
  </r>
  <r>
    <x v="22"/>
    <n v="164.220001"/>
    <n v="11.04"/>
    <n v="53.049999"/>
    <n v="225.220001"/>
    <n v="50.470001000000003"/>
  </r>
  <r>
    <x v="23"/>
    <n v="162.320007"/>
    <n v="11.11"/>
    <n v="52.73"/>
    <n v="226.33000200000001"/>
    <n v="51.110000999999997"/>
  </r>
  <r>
    <x v="24"/>
    <n v="165.259995"/>
    <n v="10.88"/>
    <n v="51.619999"/>
    <n v="224.89999399999999"/>
    <n v="51.009998000000003"/>
  </r>
  <r>
    <x v="25"/>
    <n v="169.10000600000001"/>
    <n v="11.13"/>
    <n v="53.330002"/>
    <n v="227.13999899999999"/>
    <n v="50.82"/>
  </r>
  <r>
    <x v="26"/>
    <n v="176.570007"/>
    <n v="10.97"/>
    <n v="52.310001"/>
    <n v="226.30999800000001"/>
    <n v="50.259998000000003"/>
  </r>
  <r>
    <x v="27"/>
    <n v="176.88999899999999"/>
    <n v="10.93"/>
    <n v="52.279998999999997"/>
    <n v="232.990005"/>
    <n v="50.310001"/>
  </r>
  <r>
    <x v="28"/>
    <n v="183.83000200000001"/>
    <n v="11.28"/>
    <n v="52.779998999999997"/>
    <n v="239.05999800000001"/>
    <n v="52.490001999999997"/>
  </r>
  <r>
    <x v="29"/>
    <n v="185.16000399999999"/>
    <n v="11.59"/>
    <n v="53.330002"/>
    <n v="248.679993"/>
    <n v="53.009998000000003"/>
  </r>
  <r>
    <x v="30"/>
    <n v="186.050003"/>
    <n v="11.61"/>
    <n v="53.630001"/>
    <n v="250.39999399999999"/>
    <n v="52.860000999999997"/>
  </r>
  <r>
    <x v="31"/>
    <n v="187.36000100000001"/>
    <n v="11.95"/>
    <n v="54.34"/>
    <n v="255.779999"/>
    <n v="53.169998"/>
  </r>
  <r>
    <x v="32"/>
    <n v="190.03999300000001"/>
    <n v="12.13"/>
    <n v="54.98"/>
    <n v="260.13000499999998"/>
    <n v="54.970001000000003"/>
  </r>
  <r>
    <x v="33"/>
    <n v="188.58999600000001"/>
    <n v="11.95"/>
    <n v="54.669998"/>
    <n v="254.529999"/>
    <n v="55.23"/>
  </r>
  <r>
    <x v="34"/>
    <n v="188.14999399999999"/>
    <n v="12.23"/>
    <n v="54.900002000000001"/>
    <n v="255.36000100000001"/>
    <n v="56.740001999999997"/>
  </r>
  <r>
    <x v="35"/>
    <n v="186.44000199999999"/>
    <n v="12.45"/>
    <n v="53.919998"/>
    <n v="245.55999800000001"/>
    <n v="55.639999000000003"/>
  </r>
  <r>
    <x v="36"/>
    <n v="188.179993"/>
    <n v="12.82"/>
    <n v="54.639999000000003"/>
    <n v="246.009995"/>
    <n v="56.700001"/>
  </r>
  <r>
    <x v="37"/>
    <n v="186.990005"/>
    <n v="12.82"/>
    <n v="54.810001"/>
    <n v="247.71000699999999"/>
    <n v="56.950001"/>
  </r>
  <r>
    <x v="38"/>
    <n v="186.30999800000001"/>
    <n v="13"/>
    <n v="53.5"/>
    <n v="245.94000199999999"/>
    <n v="57.509998000000003"/>
  </r>
  <r>
    <x v="39"/>
    <n v="187.63000500000001"/>
    <n v="12.99"/>
    <n v="54.32"/>
    <n v="244.240005"/>
    <n v="57.709999000000003"/>
  </r>
  <r>
    <x v="40"/>
    <n v="187.16000399999999"/>
    <n v="12.98"/>
    <n v="54.450001"/>
    <n v="242.699997"/>
    <n v="57.389999000000003"/>
  </r>
  <r>
    <x v="41"/>
    <n v="188.36000100000001"/>
    <n v="13.1"/>
    <n v="55.209999000000003"/>
    <n v="247.53999300000001"/>
    <n v="58.82"/>
  </r>
  <r>
    <x v="42"/>
    <n v="188.14999399999999"/>
    <n v="13.41"/>
    <n v="54.75"/>
    <n v="247.69000199999999"/>
    <n v="59.080002"/>
  </r>
  <r>
    <x v="43"/>
    <n v="188.58000200000001"/>
    <n v="13.54"/>
    <n v="55.439999"/>
    <n v="249.279999"/>
    <n v="59.959999000000003"/>
  </r>
  <r>
    <x v="44"/>
    <n v="187.89999399999999"/>
    <n v="13.36"/>
    <n v="55.32"/>
    <n v="248.58999600000001"/>
    <n v="58.23"/>
  </r>
  <r>
    <x v="45"/>
    <n v="187.5"/>
    <n v="13.82"/>
    <n v="55.68"/>
    <n v="252.990005"/>
    <n v="58.389999000000003"/>
  </r>
  <r>
    <x v="46"/>
    <n v="186.86999499999999"/>
    <n v="13.73"/>
    <n v="55.200001"/>
    <n v="252.19000199999999"/>
    <n v="58.119999"/>
  </r>
  <r>
    <x v="47"/>
    <n v="190.240005"/>
    <n v="14.4"/>
    <n v="57.080002"/>
    <n v="257.61999500000002"/>
    <n v="58.610000999999997"/>
  </r>
  <r>
    <x v="48"/>
    <n v="191.83000200000001"/>
    <n v="14.85"/>
    <n v="56.830002"/>
    <n v="264.85000600000001"/>
    <n v="58.709999000000003"/>
  </r>
  <r>
    <x v="49"/>
    <n v="193.30999800000001"/>
    <n v="14.85"/>
    <n v="56.529998999999997"/>
    <n v="265.07000699999998"/>
    <n v="58.98"/>
  </r>
  <r>
    <x v="50"/>
    <n v="193.979996"/>
    <n v="15.67"/>
    <n v="57.029998999999997"/>
    <n v="265.14999399999999"/>
    <n v="59.84"/>
  </r>
  <r>
    <x v="51"/>
    <n v="193.46000699999999"/>
    <n v="14.89"/>
    <n v="55.880001"/>
    <n v="262.89999399999999"/>
    <n v="60.639999000000003"/>
  </r>
  <r>
    <x v="52"/>
    <n v="191.699997"/>
    <n v="15.25"/>
    <n v="55.049999"/>
    <n v="262.27999899999998"/>
    <n v="60.259998000000003"/>
  </r>
  <r>
    <x v="53"/>
    <n v="191.229996"/>
    <n v="15.73"/>
    <n v="54.52"/>
    <n v="260.61999500000002"/>
    <n v="59.93"/>
  </r>
  <r>
    <x v="54"/>
    <n v="192.279999"/>
    <n v="15.85"/>
    <n v="54.82"/>
    <n v="262.57998700000002"/>
    <n v="59.790000999999997"/>
  </r>
  <r>
    <x v="55"/>
    <n v="190.699997"/>
    <n v="16.32"/>
    <n v="55.029998999999997"/>
    <n v="262.39999399999999"/>
    <n v="59.220001000000003"/>
  </r>
  <r>
    <x v="56"/>
    <n v="190.800003"/>
    <n v="16.25"/>
    <n v="55.540000999999997"/>
    <n v="266.91000400000001"/>
    <n v="59.459999000000003"/>
  </r>
  <r>
    <x v="57"/>
    <n v="188.83999600000001"/>
    <n v="16.34"/>
    <n v="55.110000999999997"/>
    <n v="265.26001000000002"/>
    <n v="59.860000999999997"/>
  </r>
  <r>
    <x v="58"/>
    <n v="188.740005"/>
    <n v="17.110001"/>
    <n v="53.220001000000003"/>
    <n v="265.08999599999999"/>
    <n v="59.200001"/>
  </r>
  <r>
    <x v="59"/>
    <n v="185.69000199999999"/>
    <n v="16.690000999999999"/>
    <n v="52.93"/>
    <n v="260.17001299999998"/>
    <n v="58.700001"/>
  </r>
  <r>
    <x v="60"/>
    <n v="186.5"/>
    <n v="16.52"/>
    <n v="53.459999000000003"/>
    <n v="262.30999800000001"/>
    <n v="58.790000999999997"/>
  </r>
  <r>
    <x v="61"/>
    <n v="185.46000699999999"/>
    <n v="15.65"/>
    <n v="52.189999"/>
    <n v="257.10998499999999"/>
    <n v="58.75"/>
  </r>
  <r>
    <x v="62"/>
    <n v="184.91999799999999"/>
    <n v="15.8"/>
    <n v="52.5"/>
    <n v="250.949997"/>
    <n v="58.5"/>
  </r>
  <r>
    <x v="63"/>
    <n v="182.16999799999999"/>
    <n v="15.11"/>
    <n v="50.709999000000003"/>
    <n v="239.11999499999999"/>
    <n v="57.049999"/>
  </r>
  <r>
    <x v="64"/>
    <n v="184.429993"/>
    <n v="15.5"/>
    <n v="49.669998"/>
    <n v="241.990005"/>
    <n v="56.450001"/>
  </r>
  <r>
    <x v="65"/>
    <n v="184.16000399999999"/>
    <n v="14.97"/>
    <n v="48.759998000000003"/>
    <n v="235.720001"/>
    <n v="55.169998"/>
  </r>
  <r>
    <x v="66"/>
    <n v="185.5"/>
    <n v="15.31"/>
    <n v="49.25"/>
    <n v="240.86000100000001"/>
    <n v="55.900002000000001"/>
  </r>
  <r>
    <x v="67"/>
    <n v="185.11000100000001"/>
    <n v="14.99"/>
    <n v="49.709999000000003"/>
    <n v="236.89999399999999"/>
    <n v="56.119999"/>
  </r>
  <r>
    <x v="68"/>
    <n v="187.179993"/>
    <n v="15.16"/>
    <n v="50.200001"/>
    <n v="242.240005"/>
    <n v="56.18"/>
  </r>
  <r>
    <x v="69"/>
    <n v="183.91999799999999"/>
    <n v="15"/>
    <n v="49.470001000000003"/>
    <n v="236.83999600000001"/>
    <n v="55.330002"/>
  </r>
  <r>
    <x v="70"/>
    <n v="185.39999399999999"/>
    <n v="15.5"/>
    <n v="50.75"/>
    <n v="242.729996"/>
    <n v="57.380001"/>
  </r>
  <r>
    <x v="71"/>
    <n v="187.970001"/>
    <n v="16.360001"/>
    <n v="51.369999"/>
    <n v="247.33000200000001"/>
    <n v="57.84"/>
  </r>
  <r>
    <x v="72"/>
    <n v="190.58000200000001"/>
    <n v="16.610001"/>
    <n v="51.860000999999997"/>
    <n v="249.25"/>
    <n v="58.040000999999997"/>
  </r>
  <r>
    <x v="73"/>
    <n v="190.35000600000001"/>
    <n v="16.549999"/>
    <n v="52.16"/>
    <n v="253.25"/>
    <n v="58.369999"/>
  </r>
  <r>
    <x v="74"/>
    <n v="187.88000500000001"/>
    <n v="16.27"/>
    <n v="51.200001"/>
    <n v="247.529999"/>
    <n v="57.299999"/>
  </r>
  <r>
    <x v="75"/>
    <n v="191.029999"/>
    <n v="16.559999000000001"/>
    <n v="52.349997999999999"/>
    <n v="251.229996"/>
    <n v="58.32"/>
  </r>
  <r>
    <x v="76"/>
    <n v="191.33000200000001"/>
    <n v="16.27"/>
    <n v="52.220001000000003"/>
    <n v="249.320007"/>
    <n v="58.389999000000003"/>
  </r>
  <r>
    <x v="77"/>
    <n v="190.91000399999999"/>
    <n v="16.579999999999998"/>
    <n v="52.009998000000003"/>
    <n v="248.199997"/>
    <n v="58.349997999999999"/>
  </r>
  <r>
    <x v="78"/>
    <n v="191.449997"/>
    <n v="16.870000999999998"/>
    <n v="51.75"/>
    <n v="253.69000199999999"/>
    <n v="58.91"/>
  </r>
  <r>
    <x v="79"/>
    <n v="190.39999399999999"/>
    <n v="16.850000000000001"/>
    <n v="51.720001000000003"/>
    <n v="251.699997"/>
    <n v="58.759998000000003"/>
  </r>
  <r>
    <x v="80"/>
    <n v="191.88000500000001"/>
    <n v="16.709999"/>
    <n v="51.98"/>
    <n v="252.029999"/>
    <n v="59.310001"/>
  </r>
  <r>
    <x v="81"/>
    <n v="191.44000199999999"/>
    <n v="16.5"/>
    <n v="51.91"/>
    <n v="250.88999899999999"/>
    <n v="58.610000999999997"/>
  </r>
  <r>
    <x v="82"/>
    <n v="191.61000100000001"/>
    <n v="16.66"/>
    <n v="52.310001"/>
    <n v="249.41000399999999"/>
    <n v="59.080002"/>
  </r>
  <r>
    <x v="83"/>
    <n v="193"/>
    <n v="16.190000999999999"/>
    <n v="52.18"/>
    <n v="248.71000699999999"/>
    <n v="58.849997999999999"/>
  </r>
  <r>
    <x v="84"/>
    <n v="194.820007"/>
    <n v="16.049999"/>
    <n v="52.43"/>
    <n v="251.86999499999999"/>
    <n v="59.419998"/>
  </r>
  <r>
    <x v="85"/>
    <n v="194.21000699999999"/>
    <n v="18.350000000000001"/>
    <n v="52.16"/>
    <n v="254.83999600000001"/>
    <n v="63.580002"/>
  </r>
  <r>
    <x v="86"/>
    <n v="190.979996"/>
    <n v="18.940000999999999"/>
    <n v="47.68"/>
    <n v="252.020004"/>
    <n v="62.689999"/>
  </r>
  <r>
    <x v="87"/>
    <n v="189.91000399999999"/>
    <n v="19.420000000000002"/>
    <n v="47.689999"/>
    <n v="244.13000500000001"/>
    <n v="62.040000999999997"/>
  </r>
  <r>
    <x v="88"/>
    <n v="190.28999300000001"/>
    <n v="18.329999999999998"/>
    <n v="48.099997999999999"/>
    <n v="244.86000100000001"/>
    <n v="64.089995999999999"/>
  </r>
  <r>
    <x v="89"/>
    <n v="201.5"/>
    <n v="18.48"/>
    <n v="48.810001"/>
    <n v="246.470001"/>
    <n v="64.349997999999999"/>
  </r>
  <r>
    <x v="90"/>
    <n v="207.38999899999999"/>
    <n v="18.790001"/>
    <n v="49.48"/>
    <n v="250.61999499999999"/>
    <n v="64.769997000000004"/>
  </r>
  <r>
    <x v="91"/>
    <n v="207.990005"/>
    <n v="18.489999999999998"/>
    <n v="49.630001"/>
    <n v="252.10000600000001"/>
    <n v="65.400002000000001"/>
  </r>
  <r>
    <x v="92"/>
    <n v="209.070007"/>
    <n v="19.43"/>
    <n v="49.299999"/>
    <n v="254.029999"/>
    <n v="65.730002999999996"/>
  </r>
  <r>
    <x v="93"/>
    <n v="207.11000100000001"/>
    <n v="19.559999000000001"/>
    <n v="49.700001"/>
    <n v="256.95001200000002"/>
    <n v="65.440002000000007"/>
  </r>
  <r>
    <x v="94"/>
    <n v="207.25"/>
    <n v="19.579999999999998"/>
    <n v="49.959999000000003"/>
    <n v="258.42001299999998"/>
    <n v="65.160004000000001"/>
  </r>
  <r>
    <x v="95"/>
    <n v="208.88000500000001"/>
    <n v="19.100000000000001"/>
    <n v="50.139999000000003"/>
    <n v="256.459991"/>
    <n v="65.080001999999993"/>
  </r>
  <r>
    <x v="96"/>
    <n v="207.529999"/>
    <n v="19.059999000000001"/>
    <n v="48.849997999999999"/>
    <n v="254.78999300000001"/>
    <n v="64.819999999999993"/>
  </r>
  <r>
    <x v="97"/>
    <n v="208.86999499999999"/>
    <n v="19.73"/>
    <n v="48.450001"/>
    <n v="256.11999500000002"/>
    <n v="64.839995999999999"/>
  </r>
  <r>
    <x v="98"/>
    <n v="209.75"/>
    <n v="20.02"/>
    <n v="48.119999"/>
    <n v="261.42999300000002"/>
    <n v="65.430000000000007"/>
  </r>
  <r>
    <x v="99"/>
    <n v="210.240005"/>
    <n v="19.700001"/>
    <n v="47.459999000000003"/>
    <n v="259.07998700000002"/>
    <n v="65.680000000000007"/>
  </r>
  <r>
    <x v="100"/>
    <n v="213.320007"/>
    <n v="19.329999999999998"/>
    <n v="47.169998"/>
    <n v="257.44000199999999"/>
    <n v="65.760002"/>
  </r>
  <r>
    <x v="101"/>
    <n v="217.58000200000001"/>
    <n v="19.77"/>
    <n v="47.099997999999999"/>
    <n v="244.820007"/>
    <n v="66.059997999999993"/>
  </r>
  <r>
    <x v="102"/>
    <n v="215.46000699999999"/>
    <n v="19.98"/>
    <n v="46.5"/>
    <n v="247.83999600000001"/>
    <n v="66.160004000000001"/>
  </r>
  <r>
    <x v="103"/>
    <n v="215.03999300000001"/>
    <n v="20.399999999999999"/>
    <n v="47.619999"/>
    <n v="253.320007"/>
    <n v="66.550003000000004"/>
  </r>
  <r>
    <x v="104"/>
    <n v="215.050003"/>
    <n v="20.9"/>
    <n v="47.049999"/>
    <n v="262.82000699999998"/>
    <n v="66.839995999999999"/>
  </r>
  <r>
    <x v="105"/>
    <n v="215.490005"/>
    <n v="22.290001"/>
    <n v="46.98"/>
    <n v="266.83999599999999"/>
    <n v="66.860000999999997"/>
  </r>
  <r>
    <x v="106"/>
    <n v="216.16000399999999"/>
    <n v="23.98"/>
    <n v="47.66"/>
    <n v="272.22000100000002"/>
    <n v="67.150002000000001"/>
  </r>
  <r>
    <x v="107"/>
    <n v="217.94000199999999"/>
    <n v="25.26"/>
    <n v="48.349997999999999"/>
    <n v="275.89999399999999"/>
    <n v="67.339995999999999"/>
  </r>
  <r>
    <x v="108"/>
    <n v="219.699997"/>
    <n v="25.049999"/>
    <n v="48.57"/>
    <n v="274.38000499999998"/>
    <n v="69.779999000000004"/>
  </r>
  <r>
    <x v="109"/>
    <n v="222.979996"/>
    <n v="25.200001"/>
    <n v="48.75"/>
    <n v="278.48998999999998"/>
    <n v="69.199996999999996"/>
  </r>
  <r>
    <x v="110"/>
    <n v="225.029999"/>
    <n v="24.889999"/>
    <n v="48.240001999999997"/>
    <n v="277.80999800000001"/>
    <n v="68.139999000000003"/>
  </r>
  <r>
    <x v="111"/>
    <n v="227.63000500000001"/>
    <n v="25.17"/>
    <n v="48.43"/>
    <n v="280.67999300000002"/>
    <n v="68.709998999999996"/>
  </r>
  <r>
    <x v="112"/>
    <n v="228.36000100000001"/>
    <n v="28.059999000000001"/>
    <n v="47.959999000000003"/>
    <n v="283.70001200000002"/>
    <n v="69.980002999999996"/>
  </r>
  <r>
    <x v="113"/>
    <n v="226.86999499999999"/>
    <n v="28.51"/>
    <n v="47.720001000000003"/>
    <n v="278.42001299999998"/>
    <n v="70.889999000000003"/>
  </r>
  <r>
    <x v="114"/>
    <n v="223.10000600000001"/>
    <n v="27.84"/>
    <n v="47.259998000000003"/>
    <n v="272.72000100000002"/>
    <n v="70.360000999999997"/>
  </r>
  <r>
    <x v="115"/>
    <n v="221.300003"/>
    <n v="27.379999000000002"/>
    <n v="46.450001"/>
    <n v="271.85998499999999"/>
    <n v="70.379997000000003"/>
  </r>
  <r>
    <x v="116"/>
    <n v="218.33000200000001"/>
    <n v="29.889999"/>
    <n v="46.299999"/>
    <n v="274.73001099999999"/>
    <n v="72.319999999999993"/>
  </r>
  <r>
    <x v="117"/>
    <n v="223.85000600000001"/>
    <n v="30.1"/>
    <n v="44.93"/>
    <n v="272.79998799999998"/>
    <n v="72.510002"/>
  </r>
  <r>
    <x v="118"/>
    <n v="221.070007"/>
    <n v="32.209999000000003"/>
    <n v="44.93"/>
    <n v="268.20001200000002"/>
    <n v="71.75"/>
  </r>
  <r>
    <x v="119"/>
    <n v="226.41000399999999"/>
    <n v="30.48"/>
    <n v="45.57"/>
    <n v="271.33999599999999"/>
    <n v="74.610000999999997"/>
  </r>
  <r>
    <x v="120"/>
    <n v="223.83999600000001"/>
    <n v="32.720001000000003"/>
    <n v="45.540000999999997"/>
    <n v="276.42999300000002"/>
    <n v="75.089995999999999"/>
  </r>
  <r>
    <x v="121"/>
    <n v="217.88000500000001"/>
    <n v="32.43"/>
    <n v="45.419998"/>
    <n v="273.92999300000002"/>
    <n v="73.239998"/>
  </r>
  <r>
    <x v="122"/>
    <n v="218.240005"/>
    <n v="31.93"/>
    <n v="46.099997999999999"/>
    <n v="271.01998900000001"/>
    <n v="74.720000999999996"/>
  </r>
  <r>
    <x v="123"/>
    <n v="218.36999499999999"/>
    <n v="31.209999"/>
    <n v="46.150002000000001"/>
    <n v="271.98001099999999"/>
    <n v="74.059997999999993"/>
  </r>
  <r>
    <x v="124"/>
    <n v="220.029999"/>
    <n v="31.18"/>
    <n v="47.200001"/>
    <n v="266.27999899999998"/>
    <n v="74.599997999999999"/>
  </r>
  <r>
    <x v="125"/>
    <n v="217.66000399999999"/>
    <n v="31.02"/>
    <n v="46.66"/>
    <n v="263.45001200000002"/>
    <n v="73.699996999999996"/>
  </r>
  <r>
    <x v="126"/>
    <n v="220.78999300000001"/>
    <n v="32.610000999999997"/>
    <n v="46.91"/>
    <n v="265.70001200000002"/>
    <n v="73.580001999999993"/>
  </r>
  <r>
    <x v="127"/>
    <n v="222.19000199999999"/>
    <n v="32.57"/>
    <n v="45.91"/>
    <n v="268.41000400000001"/>
    <n v="72.739998"/>
  </r>
  <r>
    <x v="128"/>
    <n v="220.41999799999999"/>
    <n v="32.189999"/>
    <n v="45.700001"/>
    <n v="266.92001299999998"/>
    <n v="71.760002"/>
  </r>
  <r>
    <x v="129"/>
    <n v="224.949997"/>
    <n v="32.590000000000003"/>
    <n v="45.880001"/>
    <n v="267.39999399999999"/>
    <n v="71.709998999999996"/>
  </r>
  <r>
    <x v="130"/>
    <n v="225.740005"/>
    <n v="30.889999"/>
    <n v="47.290000999999997"/>
    <n v="281.01998900000001"/>
    <n v="72.029999000000004"/>
  </r>
  <r>
    <x v="131"/>
    <n v="227.259995"/>
    <n v="31.42"/>
    <n v="46.450001"/>
    <n v="289.35998499999999"/>
    <n v="72.599997999999999"/>
  </r>
  <r>
    <x v="132"/>
    <n v="229.279999"/>
    <n v="29.02"/>
    <n v="48.099997999999999"/>
    <n v="286.48001099999999"/>
    <n v="73.349997999999999"/>
  </r>
  <r>
    <x v="133"/>
    <n v="232.070007"/>
    <n v="28.43"/>
    <n v="48.759998000000003"/>
    <n v="286.73001099999999"/>
    <n v="72.639999000000003"/>
  </r>
  <r>
    <x v="134"/>
    <n v="227.990005"/>
    <n v="27.780000999999999"/>
    <n v="48.130001"/>
    <n v="279.290009"/>
    <n v="72.379997000000003"/>
  </r>
  <r>
    <x v="135"/>
    <n v="224.28999300000001"/>
    <n v="27.35"/>
    <n v="47.029998999999997"/>
    <n v="269.85998499999999"/>
    <n v="71.209998999999996"/>
  </r>
  <r>
    <x v="136"/>
    <n v="223.770004"/>
    <n v="26.459999"/>
    <n v="47.029998999999997"/>
    <n v="265.76998900000001"/>
    <n v="70.930000000000007"/>
  </r>
  <r>
    <x v="137"/>
    <n v="226.86999499999999"/>
    <n v="27.24"/>
    <n v="46.549999"/>
    <n v="265.540009"/>
    <n v="70.129997000000003"/>
  </r>
  <r>
    <x v="138"/>
    <n v="216.36000100000001"/>
    <n v="25"/>
    <n v="44.799999"/>
    <n v="245.69000199999999"/>
    <n v="66.730002999999996"/>
  </r>
  <r>
    <x v="139"/>
    <n v="214.449997"/>
    <n v="25.299999"/>
    <n v="44.23"/>
    <n v="235.13000500000001"/>
    <n v="64.290001000000004"/>
  </r>
  <r>
    <x v="140"/>
    <n v="222.11000100000001"/>
    <n v="26.34"/>
    <n v="44.880001"/>
    <n v="246.53999300000001"/>
    <n v="64.290001000000004"/>
  </r>
  <r>
    <x v="141"/>
    <n v="217.36000100000001"/>
    <n v="26.26"/>
    <n v="44.529998999999997"/>
    <n v="235.38000500000001"/>
    <n v="64.169998000000007"/>
  </r>
  <r>
    <x v="142"/>
    <n v="222.14999399999999"/>
    <n v="28.18"/>
    <n v="45.939999"/>
    <n v="245.83000200000001"/>
    <n v="66.120002999999997"/>
  </r>
  <r>
    <x v="143"/>
    <n v="221.19000199999999"/>
    <n v="27.299999"/>
    <n v="45.889999000000003"/>
    <n v="243.05999800000001"/>
    <n v="66.099997999999999"/>
  </r>
  <r>
    <x v="144"/>
    <n v="216.020004"/>
    <n v="26.620000999999998"/>
    <n v="44.970001000000003"/>
    <n v="239.529999"/>
    <n v="65.150002000000001"/>
  </r>
  <r>
    <x v="145"/>
    <n v="219.30999800000001"/>
    <n v="23.66"/>
    <n v="44"/>
    <n v="229.16999799999999"/>
    <n v="65.360000999999997"/>
  </r>
  <r>
    <x v="146"/>
    <n v="220.64999399999999"/>
    <n v="25.030000999999999"/>
    <n v="45.009998000000003"/>
    <n v="231.220001"/>
    <n v="66.120002999999997"/>
  </r>
  <r>
    <x v="147"/>
    <n v="222.729996"/>
    <n v="25.09"/>
    <n v="44.5"/>
    <n v="221.05999800000001"/>
    <n v="66.379997000000003"/>
  </r>
  <r>
    <x v="148"/>
    <n v="215.08999600000001"/>
    <n v="22.790001"/>
    <n v="42.419998"/>
    <n v="199.41000399999999"/>
    <n v="62.619999"/>
  </r>
  <r>
    <x v="149"/>
    <n v="219.800003"/>
    <n v="19.27"/>
    <n v="44.310001"/>
    <n v="207.83999600000001"/>
    <n v="63.200001"/>
  </r>
  <r>
    <x v="150"/>
    <n v="216.300003"/>
    <n v="17.629999000000002"/>
    <n v="45.689999"/>
    <n v="198.28999300000001"/>
    <n v="62.48"/>
  </r>
  <r>
    <x v="151"/>
    <n v="212.240005"/>
    <n v="16.850000000000001"/>
    <n v="45.400002000000001"/>
    <n v="185.61999499999999"/>
    <n v="62.169998"/>
  </r>
  <r>
    <x v="152"/>
    <n v="213.300003"/>
    <n v="17.200001"/>
    <n v="47.759998000000003"/>
    <n v="203"/>
    <n v="63.18"/>
  </r>
  <r>
    <x v="153"/>
    <n v="218.86000100000001"/>
    <n v="18.209999"/>
    <n v="46.880001"/>
    <n v="210.83000200000001"/>
    <n v="62.889999000000003"/>
  </r>
  <r>
    <x v="154"/>
    <n v="222.220001"/>
    <n v="20.219999000000001"/>
    <n v="48.220001000000003"/>
    <n v="218.11000100000001"/>
    <n v="63.709999000000003"/>
  </r>
  <r>
    <x v="155"/>
    <n v="207.479996"/>
    <n v="20.23"/>
    <n v="47.110000999999997"/>
    <n v="214.91999799999999"/>
    <n v="63.330002"/>
  </r>
  <r>
    <x v="156"/>
    <n v="201.58999600000001"/>
    <n v="19.899999999999999"/>
    <n v="47.970001000000003"/>
    <n v="211.770004"/>
    <n v="63.470001000000003"/>
  </r>
  <r>
    <x v="157"/>
    <n v="203.770004"/>
    <n v="20.68"/>
    <n v="47.25"/>
    <n v="211.05999800000001"/>
    <n v="63.630001"/>
  </r>
  <r>
    <x v="158"/>
    <n v="209.949997"/>
    <n v="21.84"/>
    <n v="48.720001000000003"/>
    <n v="213.78999300000001"/>
    <n v="63.209999000000003"/>
  </r>
  <r>
    <x v="159"/>
    <n v="208.490005"/>
    <n v="21.200001"/>
    <n v="48.990001999999997"/>
    <n v="205.990005"/>
    <n v="58.049999"/>
  </r>
  <r>
    <x v="160"/>
    <n v="204.470001"/>
    <n v="21.030000999999999"/>
    <n v="48.110000999999997"/>
    <n v="205.66999799999999"/>
    <n v="56.720001000000003"/>
  </r>
  <r>
    <x v="161"/>
    <n v="194.16999799999999"/>
    <n v="19.030000999999999"/>
    <n v="46.650002000000001"/>
    <n v="189.53999300000001"/>
    <n v="54.490001999999997"/>
  </r>
  <r>
    <x v="162"/>
    <n v="192.229996"/>
    <n v="19.610001"/>
    <n v="47.389999000000003"/>
    <n v="199.30999800000001"/>
    <n v="54.16"/>
  </r>
  <r>
    <x v="163"/>
    <n v="186.800003"/>
    <n v="20.809999000000001"/>
    <n v="47.09"/>
    <n v="197.19000199999999"/>
    <n v="53.939999"/>
  </r>
  <r>
    <x v="164"/>
    <n v="191.41000399999999"/>
    <n v="21.49"/>
    <n v="48.110000999999997"/>
    <n v="202.38999899999999"/>
    <n v="55.389999000000003"/>
  </r>
  <r>
    <x v="165"/>
    <n v="193.529999"/>
    <n v="20.66"/>
    <n v="48.830002"/>
    <n v="164.429993"/>
    <n v="55.880001"/>
  </r>
  <r>
    <x v="166"/>
    <n v="185.86000100000001"/>
    <n v="19.110001"/>
    <n v="48"/>
    <n v="144.699997"/>
    <n v="54.900002000000001"/>
  </r>
  <r>
    <x v="167"/>
    <n v="176.979996"/>
    <n v="19.209999"/>
    <n v="47.389999000000003"/>
    <n v="149.08000200000001"/>
    <n v="54.919998"/>
  </r>
  <r>
    <x v="168"/>
    <n v="176.779999"/>
    <n v="18.73"/>
    <n v="47.029998999999997"/>
    <n v="144.71000699999999"/>
    <n v="55.27"/>
  </r>
  <r>
    <x v="169"/>
    <n v="172.28999300000001"/>
    <n v="19.379999000000002"/>
    <n v="46.540000999999997"/>
    <n v="145"/>
    <n v="55.25"/>
  </r>
  <r>
    <x v="170"/>
    <n v="174.61999499999999"/>
    <n v="20.079999999999998"/>
    <n v="47.450001"/>
    <n v="153.050003"/>
    <n v="55.73"/>
  </r>
  <r>
    <x v="171"/>
    <n v="174.240005"/>
    <n v="21.049999"/>
    <n v="48.07"/>
    <n v="153.729996"/>
    <n v="55.57"/>
  </r>
  <r>
    <x v="172"/>
    <n v="180.94000199999999"/>
    <n v="21.34"/>
    <n v="48.860000999999997"/>
    <n v="160.070007"/>
    <n v="56.650002000000001"/>
  </r>
  <r>
    <x v="173"/>
    <n v="179.550003"/>
    <n v="21.43"/>
    <n v="47.700001"/>
    <n v="157.36000100000001"/>
    <n v="58.110000999999997"/>
  </r>
  <r>
    <x v="174"/>
    <n v="178.58000200000001"/>
    <n v="21.299999"/>
    <n v="49.310001"/>
    <n v="163.429993"/>
    <n v="58.259998000000003"/>
  </r>
  <r>
    <x v="175"/>
    <n v="184.820007"/>
    <n v="23.709999"/>
    <n v="50.130001"/>
    <n v="170.03999300000001"/>
    <n v="59.139999000000003"/>
  </r>
  <r>
    <x v="176"/>
    <n v="176.69000199999999"/>
    <n v="21.120000999999998"/>
    <n v="47.75"/>
    <n v="157.11000100000001"/>
    <n v="57.73"/>
  </r>
  <r>
    <x v="177"/>
    <n v="174.720001"/>
    <n v="21.299999"/>
    <n v="48.369999"/>
    <n v="158.28999300000001"/>
    <n v="57.110000999999997"/>
  </r>
  <r>
    <x v="178"/>
    <n v="168.490005"/>
    <n v="19.459999"/>
    <n v="46.240001999999997"/>
    <n v="147.61000100000001"/>
    <n v="55.990001999999997"/>
  </r>
  <r>
    <x v="179"/>
    <n v="169.60000600000001"/>
    <n v="19.989999999999998"/>
    <n v="47.209999000000003"/>
    <n v="151.86000100000001"/>
    <n v="57.240001999999997"/>
  </r>
  <r>
    <x v="180"/>
    <n v="168.63000500000001"/>
    <n v="19.98"/>
    <n v="47.380001"/>
    <n v="148.19000199999999"/>
    <n v="57.349997999999999"/>
  </r>
  <r>
    <x v="181"/>
    <n v="169.10000600000001"/>
    <n v="20.48"/>
    <n v="47.830002"/>
    <n v="148.89999399999999"/>
    <n v="57.720001000000003"/>
  </r>
  <r>
    <x v="182"/>
    <n v="170.949997"/>
    <n v="19.860001"/>
    <n v="48.290000999999997"/>
    <n v="148.88999899999999"/>
    <n v="58.09"/>
  </r>
  <r>
    <x v="183"/>
    <n v="165.479996"/>
    <n v="19.899999999999999"/>
    <n v="47.860000999999997"/>
    <n v="146.449997"/>
    <n v="57.619999"/>
  </r>
  <r>
    <x v="184"/>
    <n v="163.94000199999999"/>
    <n v="18.829999999999998"/>
    <n v="47.080002"/>
    <n v="143.58000200000001"/>
    <n v="57"/>
  </r>
  <r>
    <x v="185"/>
    <n v="166.070007"/>
    <n v="19.5"/>
    <n v="47.740001999999997"/>
    <n v="146.94000199999999"/>
    <n v="57.779998999999997"/>
  </r>
  <r>
    <x v="186"/>
    <n v="160.88999899999999"/>
    <n v="18.16"/>
    <n v="45.57"/>
    <n v="138.509995"/>
    <n v="56.689999"/>
  </r>
  <r>
    <x v="187"/>
    <n v="156.83000200000001"/>
    <n v="17.940000999999999"/>
    <n v="45.540000999999997"/>
    <n v="135.10000600000001"/>
    <n v="56.369999"/>
  </r>
  <r>
    <x v="188"/>
    <n v="150.729996"/>
    <n v="16.93"/>
    <n v="44.84"/>
    <n v="129.570007"/>
    <n v="54.849997999999999"/>
  </r>
  <r>
    <x v="189"/>
    <n v="146.83000200000001"/>
    <n v="16.649999999999999"/>
    <n v="43.59"/>
    <n v="127.08000199999999"/>
    <n v="53.650002000000001"/>
  </r>
  <r>
    <x v="190"/>
    <n v="157.16999799999999"/>
    <n v="17.899999999999999"/>
    <n v="46.189999"/>
    <n v="133.10000600000001"/>
    <n v="55.959999000000003"/>
  </r>
  <r>
    <x v="191"/>
    <n v="156.14999399999999"/>
    <n v="17.489999999999998"/>
    <n v="46.360000999999997"/>
    <n v="131.16999799999999"/>
    <n v="56.09"/>
  </r>
  <r>
    <x v="192"/>
    <n v="156.229996"/>
    <n v="17.82"/>
    <n v="46.75"/>
    <n v="133.64999399999999"/>
    <n v="56.810001"/>
  </r>
  <r>
    <x v="193"/>
    <n v="157.740005"/>
    <n v="18.459999"/>
    <n v="46.93"/>
    <n v="133.5"/>
    <n v="56.91"/>
  </r>
  <r>
    <x v="194"/>
    <n v="157.91999799999999"/>
    <n v="18.829999999999998"/>
    <n v="47.080002"/>
    <n v="136.220001"/>
    <n v="57.400002000000001"/>
  </r>
  <r>
    <x v="195"/>
    <n v="142.19000199999999"/>
    <n v="17.049999"/>
    <n v="44.490001999999997"/>
    <n v="127.989998"/>
    <n v="55.700001"/>
  </r>
  <r>
    <x v="196"/>
    <n v="148.259995"/>
    <n v="19"/>
    <n v="47.220001000000003"/>
    <n v="136.19000199999999"/>
    <n v="56.599997999999999"/>
  </r>
  <r>
    <x v="197"/>
    <n v="147.929993"/>
    <n v="20.57"/>
    <n v="47.439999"/>
    <n v="143.39999399999999"/>
    <n v="56.439999"/>
  </r>
  <r>
    <x v="198"/>
    <n v="150.75"/>
    <n v="20.75"/>
    <n v="47.740001999999997"/>
    <n v="139.83000200000001"/>
    <n v="55.950001"/>
  </r>
  <r>
    <x v="199"/>
    <n v="153.30999800000001"/>
    <n v="20.190000999999999"/>
    <n v="48.009998000000003"/>
    <n v="142.58000200000001"/>
    <n v="56.610000999999997"/>
  </r>
  <r>
    <x v="200"/>
    <n v="153.800003"/>
    <n v="19.739999999999998"/>
    <n v="48.560001"/>
    <n v="145.229996"/>
    <n v="56.799999"/>
  </r>
  <r>
    <x v="201"/>
    <n v="152.28999300000001"/>
    <n v="20.27"/>
    <n v="48.93"/>
    <n v="148.83000200000001"/>
    <n v="57.5"/>
  </r>
  <r>
    <x v="202"/>
    <n v="150"/>
    <n v="20.23"/>
    <n v="48.349997999999999"/>
    <n v="150.44000199999999"/>
    <n v="57.299999"/>
  </r>
  <r>
    <x v="203"/>
    <n v="153.070007"/>
    <n v="20.379999000000002"/>
    <n v="48.599997999999999"/>
    <n v="149.86999499999999"/>
    <n v="55.73"/>
  </r>
  <r>
    <x v="204"/>
    <n v="154.94000199999999"/>
    <n v="19.73"/>
    <n v="48.130001"/>
    <n v="148.83999600000001"/>
    <n v="55.27"/>
  </r>
  <r>
    <x v="205"/>
    <n v="155.86000100000001"/>
    <n v="20.25"/>
    <n v="48.470001000000003"/>
    <n v="151.720001"/>
    <n v="54.77"/>
  </r>
  <r>
    <x v="206"/>
    <n v="156.820007"/>
    <n v="20.77"/>
    <n v="49.189999"/>
    <n v="156.929993"/>
    <n v="55.27"/>
  </r>
  <r>
    <x v="207"/>
    <n v="153.300003"/>
    <n v="19.760000000000002"/>
    <n v="48.27"/>
    <n v="148.770004"/>
    <n v="54.290000999999997"/>
  </r>
  <r>
    <x v="208"/>
    <n v="153.91999799999999"/>
    <n v="19.799999"/>
    <n v="47.939999"/>
    <n v="149.28999300000001"/>
    <n v="51.77"/>
  </r>
  <r>
    <x v="209"/>
    <n v="152.699997"/>
    <n v="20.85"/>
    <n v="49.759998000000003"/>
    <n v="157.83999600000001"/>
    <n v="50.810001"/>
  </r>
  <r>
    <x v="210"/>
    <n v="157.759995"/>
    <n v="21.93"/>
    <n v="47.040000999999997"/>
    <n v="160.14999399999999"/>
    <n v="51.299999"/>
  </r>
  <r>
    <x v="211"/>
    <n v="156.300003"/>
    <n v="20.18"/>
    <n v="46.709999000000003"/>
    <n v="138.009995"/>
    <n v="50.639999000000003"/>
  </r>
  <r>
    <x v="212"/>
    <n v="154.679993"/>
    <n v="19.25"/>
    <n v="46.540000999999997"/>
    <n v="131.60000600000001"/>
    <n v="49.400002000000001"/>
  </r>
  <r>
    <x v="213"/>
    <n v="165.25"/>
    <n v="23.09"/>
    <n v="47.540000999999997"/>
    <n v="137.38999899999999"/>
    <n v="50.169998"/>
  </r>
  <r>
    <x v="214"/>
    <n v="166.44000199999999"/>
    <n v="24.41"/>
    <n v="47.119999"/>
    <n v="143.75"/>
    <n v="49.52"/>
  </r>
  <r>
    <x v="215"/>
    <n v="166.520004"/>
    <n v="24.51"/>
    <n v="48.73"/>
    <n v="144.729996"/>
    <n v="49.610000999999997"/>
  </r>
  <r>
    <x v="216"/>
    <n v="171.25"/>
    <n v="24.129999000000002"/>
    <n v="49.220001000000003"/>
    <n v="149.179993"/>
    <n v="49.689999"/>
  </r>
  <r>
    <x v="217"/>
    <n v="174.179993"/>
    <n v="23.309999000000001"/>
    <n v="50.009998000000003"/>
    <n v="149.949997"/>
    <n v="50.73"/>
  </r>
  <r>
    <x v="218"/>
    <n v="174.240005"/>
    <n v="23.26"/>
    <n v="49.900002000000001"/>
    <n v="153"/>
    <n v="51.099997999999999"/>
  </r>
  <r>
    <x v="219"/>
    <n v="170.94000199999999"/>
    <n v="22.67"/>
    <n v="49.23"/>
    <n v="147.41999799999999"/>
    <n v="50.549999"/>
  </r>
  <r>
    <x v="220"/>
    <n v="170.41000399999999"/>
    <n v="23.049999"/>
    <n v="48.84"/>
    <n v="148.16999799999999"/>
    <n v="50.290000999999997"/>
  </r>
  <r>
    <x v="221"/>
    <n v="169.429993"/>
    <n v="22.959999"/>
    <n v="48.77"/>
    <n v="146.449997"/>
    <n v="50.830002"/>
  </r>
  <r>
    <x v="222"/>
    <n v="170.88999899999999"/>
    <n v="22.82"/>
    <n v="50.009998000000003"/>
    <n v="151.16999799999999"/>
    <n v="51.66"/>
  </r>
  <r>
    <x v="223"/>
    <n v="170.179993"/>
    <n v="22.85"/>
    <n v="50.470001000000003"/>
    <n v="152.88000500000001"/>
    <n v="51.59"/>
  </r>
  <r>
    <x v="224"/>
    <n v="170.800003"/>
    <n v="23.129999000000002"/>
    <n v="50.810001"/>
    <n v="154.529999"/>
    <n v="51.57"/>
  </r>
  <r>
    <x v="225"/>
    <n v="170.41999799999999"/>
    <n v="23.68"/>
    <n v="51.66"/>
    <n v="157.33999600000001"/>
    <n v="51.98"/>
  </r>
  <r>
    <x v="226"/>
    <n v="170.929993"/>
    <n v="23.950001"/>
    <n v="51.400002000000001"/>
    <n v="156.63999899999999"/>
    <n v="52.009998000000003"/>
  </r>
  <r>
    <x v="227"/>
    <n v="172.029999"/>
    <n v="23.950001"/>
    <n v="51.389999000000003"/>
    <n v="158.550003"/>
    <n v="52.450001"/>
  </r>
  <r>
    <x v="228"/>
    <n v="171.05999800000001"/>
    <n v="23.92"/>
    <n v="51.41"/>
    <n v="155.770004"/>
    <n v="52.349997999999999"/>
  </r>
  <r>
    <x v="229"/>
    <n v="172.970001"/>
    <n v="24.360001"/>
    <n v="52.490001999999997"/>
    <n v="159.19000199999999"/>
    <n v="53.119999"/>
  </r>
  <r>
    <x v="230"/>
    <n v="174.229996"/>
    <n v="24.709999"/>
    <n v="53.099997999999999"/>
    <n v="158.69000199999999"/>
    <n v="52.990001999999997"/>
  </r>
  <r>
    <x v="231"/>
    <n v="174.33000200000001"/>
    <n v="24.209999"/>
    <n v="53.23"/>
    <n v="157.10000600000001"/>
    <n v="53.029998999999997"/>
  </r>
  <r>
    <x v="232"/>
    <n v="174.86999499999999"/>
    <n v="23.48"/>
    <n v="53.240001999999997"/>
    <n v="155.41000399999999"/>
    <n v="53.040000999999997"/>
  </r>
  <r>
    <x v="233"/>
    <n v="173.14999399999999"/>
    <n v="23.530000999999999"/>
    <n v="52.959999000000003"/>
    <n v="154.259995"/>
    <n v="53.389999000000003"/>
  </r>
  <r>
    <x v="234"/>
    <n v="174.970001"/>
    <n v="23.68"/>
    <n v="53.299999"/>
    <n v="156.449997"/>
    <n v="54.200001"/>
  </r>
  <r>
    <x v="235"/>
    <n v="175.85000600000001"/>
    <n v="23.370000999999998"/>
    <n v="53.939999"/>
    <n v="156.779999"/>
    <n v="53.779998999999997"/>
  </r>
  <r>
    <x v="236"/>
    <n v="175.529999"/>
    <n v="23.5"/>
    <n v="53.68"/>
    <n v="156.520004"/>
    <n v="53.939999"/>
  </r>
  <r>
    <x v="237"/>
    <n v="174.520004"/>
    <n v="22.41"/>
    <n v="52.950001"/>
    <n v="152.050003"/>
    <n v="54.799999"/>
  </r>
  <r>
    <x v="238"/>
    <n v="172.5"/>
    <n v="22.08"/>
    <n v="52.599997999999999"/>
    <n v="149.259995"/>
    <n v="54.029998999999997"/>
  </r>
  <r>
    <x v="239"/>
    <n v="172.91000399999999"/>
    <n v="22.01"/>
    <n v="52.48"/>
    <n v="150.63999899999999"/>
    <n v="53.529998999999997"/>
  </r>
  <r>
    <x v="240"/>
    <n v="178.89999399999999"/>
    <n v="22.959999"/>
    <n v="53.349997999999999"/>
    <n v="161.13999899999999"/>
    <n v="54.349997999999999"/>
  </r>
  <r>
    <x v="241"/>
    <n v="180.91000399999999"/>
    <n v="23.49"/>
    <n v="53.57"/>
    <n v="162.520004"/>
    <n v="54.84"/>
  </r>
  <r>
    <x v="242"/>
    <n v="181.71000699999999"/>
    <n v="23.379999000000002"/>
    <n v="54.369999"/>
    <n v="168.61999499999999"/>
    <n v="55.389999000000003"/>
  </r>
  <r>
    <x v="243"/>
    <n v="183.729996"/>
    <n v="22.82"/>
    <n v="53.439999"/>
    <n v="165.55999800000001"/>
    <n v="55.400002000000001"/>
  </r>
  <r>
    <x v="244"/>
    <n v="186.11999499999999"/>
    <n v="23.290001"/>
    <n v="54.330002"/>
    <n v="169.80999800000001"/>
    <n v="56.599997999999999"/>
  </r>
  <r>
    <x v="245"/>
    <n v="188.020004"/>
    <n v="23.25"/>
    <n v="54.099997999999999"/>
    <n v="168.949997"/>
    <n v="56.830002"/>
  </r>
  <r>
    <x v="246"/>
    <n v="186.529999"/>
    <n v="26"/>
    <n v="54.169998"/>
    <n v="175.71000699999999"/>
    <n v="56.970001000000003"/>
  </r>
  <r>
    <x v="247"/>
    <n v="188.16000399999999"/>
    <n v="25.700001"/>
    <n v="53.82"/>
    <n v="174.39999399999999"/>
    <n v="57.16"/>
  </r>
  <r>
    <x v="248"/>
    <n v="195.08999600000001"/>
    <n v="27.889999"/>
    <n v="54.639999000000003"/>
    <n v="183.94000199999999"/>
    <n v="57.77"/>
  </r>
  <r>
    <x v="249"/>
    <n v="191.050003"/>
    <n v="26.370000999999998"/>
    <n v="53.259998000000003"/>
    <n v="177.5"/>
    <n v="56.8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 rowHeaderCaption="Month">
  <location ref="A2:F18" firstHeaderRow="0" firstDataRow="1" firstDataCol="1"/>
  <pivotFields count="8">
    <pivotField axis="axisRow" numFmtId="14" showAll="0">
      <items count="15">
        <item x="0"/>
        <item x="1"/>
        <item x="2"/>
        <item sd="0"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4">
        <item sd="0" x="0"/>
        <item x="1"/>
        <item x="2"/>
        <item sd="0" x="3"/>
      </items>
    </pivotField>
  </pivotFields>
  <rowFields count="2">
    <field x="7"/>
    <field x="0"/>
  </rowFields>
  <rowItems count="16">
    <i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AAPL" fld="1" subtotal="average" baseField="0" baseItem="0"/>
    <dataField name="Average of AMD" fld="2" subtotal="average" baseField="0" baseItem="0"/>
    <dataField name="Average of INTC" fld="3" subtotal="average" baseField="0" baseItem="0"/>
    <dataField name="Average of NVDA" fld="4" subtotal="average" baseField="0" baseItem="0"/>
    <dataField name="Average of QCOM" fld="5" subtotal="average" baseField="0" baseItem="0"/>
  </dataFields>
  <formats count="4">
    <format dxfId="19">
      <pivotArea outline="0" collapsedLevelsAreSubtotals="1" fieldPosition="0"/>
    </format>
    <format dxfId="18">
      <pivotArea outline="0" collapsedLevelsAreSubtotals="1" fieldPosition="0"/>
    </format>
    <format dxfId="17">
      <pivotArea field="7" type="button" dataOnly="0" labelOnly="1" outline="0" axis="axisRow" fieldPosition="0"/>
    </format>
    <format dxfId="1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5">
    <chartFormat chart="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1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16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Dark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3" name="AAPL" displayName="AAPL" ref="A4:H254" totalsRowShown="0" headerRowDxfId="80" dataDxfId="79">
  <autoFilter ref="A4:H25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sortState ref="A5:H254">
    <sortCondition ref="A4:A254"/>
  </sortState>
  <tableColumns count="8">
    <tableColumn id="1" name="Date" dataDxfId="78"/>
    <tableColumn id="2" name="Open" dataDxfId="77"/>
    <tableColumn id="3" name="High" dataDxfId="76"/>
    <tableColumn id="4" name="Low" dataDxfId="75"/>
    <tableColumn id="5" name="Close" dataDxfId="74"/>
    <tableColumn id="9" name="Adj. Close" dataDxfId="73"/>
    <tableColumn id="6" name="Volume" dataDxfId="72" dataCellStyle="Comma"/>
    <tableColumn id="7" name="% Change from Previous Day's Closing" dataDxfId="71">
      <calculatedColumnFormula>(AAPL[[#This Row],[Close]]-E4)/E4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2" name="AMD" displayName="AMD" ref="A4:H254" totalsRowShown="0" headerRowDxfId="68">
  <autoFilter ref="A4:H25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sortState ref="A5:H254">
    <sortCondition ref="A4:A254"/>
  </sortState>
  <tableColumns count="8">
    <tableColumn id="1" name="Date" dataDxfId="67"/>
    <tableColumn id="2" name="Open" dataDxfId="66"/>
    <tableColumn id="3" name="High" dataDxfId="65"/>
    <tableColumn id="4" name="Low" dataDxfId="64"/>
    <tableColumn id="5" name="Close" dataDxfId="63"/>
    <tableColumn id="9" name="Adj. Close" dataDxfId="62"/>
    <tableColumn id="6" name="Volume" dataDxfId="61" dataCellStyle="Comma"/>
    <tableColumn id="7" name="% Change from Previous Day's Closing" dataDxfId="60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3" name="INTC" displayName="INTC" ref="A4:H254" totalsRowShown="0" headerRowDxfId="57">
  <autoFilter ref="A4:H25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name="Date" dataDxfId="56"/>
    <tableColumn id="2" name="Open" dataDxfId="55"/>
    <tableColumn id="3" name="High" dataDxfId="54"/>
    <tableColumn id="4" name="Low" dataDxfId="53"/>
    <tableColumn id="5" name="Close" dataDxfId="52"/>
    <tableColumn id="9" name="Adj. Close" dataDxfId="51"/>
    <tableColumn id="6" name="Volume" dataDxfId="50" dataCellStyle="Comma"/>
    <tableColumn id="7" name="% Change from Previous Day's Closing" dataDxfId="49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4" name="NVDA" displayName="NVDA" ref="A4:H254" totalsRowShown="0" headerRowDxfId="46">
  <autoFilter ref="A4:H25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name="Date" dataDxfId="45"/>
    <tableColumn id="2" name="Open" dataDxfId="44"/>
    <tableColumn id="3" name="High" dataDxfId="43"/>
    <tableColumn id="4" name="Low" dataDxfId="42"/>
    <tableColumn id="5" name="Close" dataDxfId="41"/>
    <tableColumn id="9" name="Adj. Close" dataDxfId="40"/>
    <tableColumn id="6" name="Volume" dataDxfId="39" dataCellStyle="Comma"/>
    <tableColumn id="7" name="% Change from Previous Day's Closing" dataDxfId="3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5" name="QCOM" displayName="QCOM" ref="A4:H254" totalsRowShown="0" headerRowDxfId="35">
  <autoFilter ref="A4:H25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name="Date" dataDxfId="34"/>
    <tableColumn id="2" name="Open" dataDxfId="33"/>
    <tableColumn id="3" name="High" dataDxfId="32"/>
    <tableColumn id="4" name="Low" dataDxfId="31"/>
    <tableColumn id="5" name="Close" dataDxfId="30"/>
    <tableColumn id="9" name="Adj. Close" dataDxfId="29"/>
    <tableColumn id="6" name="Volume" dataDxfId="28" dataCellStyle="Comma"/>
    <tableColumn id="7" name="% Change from Previous Day's Closing" dataDxfId="2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6" name="Closings" displayName="Closings" ref="A4:F254" totalsRowShown="0" headerRowDxfId="26">
  <autoFilter ref="A4:F25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Date" dataDxfId="25"/>
    <tableColumn id="2" name="AAPL" dataDxfId="24">
      <calculatedColumnFormula>AAPL[[#This Row],[Close]]</calculatedColumnFormula>
    </tableColumn>
    <tableColumn id="3" name="AMD" dataDxfId="23">
      <calculatedColumnFormula>AMD[[#This Row],[Close]]</calculatedColumnFormula>
    </tableColumn>
    <tableColumn id="4" name="INTC" dataDxfId="22">
      <calculatedColumnFormula>INTC[[#This Row],[Close]]</calculatedColumnFormula>
    </tableColumn>
    <tableColumn id="5" name="NVDA" dataDxfId="21">
      <calculatedColumnFormula>NVDA[[#This Row],[Close]]</calculatedColumnFormula>
    </tableColumn>
    <tableColumn id="9" name="QCOM" dataDxfId="20">
      <calculatedColumnFormula>QCOM[[#This Row],[Close]]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MyPortfolio" displayName="MyPortfolio" ref="A1:G6" totalsRowShown="0" headerRowDxfId="13" dataDxfId="12">
  <autoFilter ref="A1:G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name="Company Name" dataDxfId="11"/>
    <tableColumn id="2" name="Purchase Price" dataDxfId="10">
      <calculatedColumnFormula>INDIRECT(MyPortfolio[[#This Row],[Company Name]] &amp; "!$B$5")</calculatedColumnFormula>
    </tableColumn>
    <tableColumn id="3" name="Sell Price" dataDxfId="9">
      <calculatedColumnFormula>INDIRECT(MyPortfolio[[#This Row],[Company Name]] &amp; "!$E$254")</calculatedColumnFormula>
    </tableColumn>
    <tableColumn id="4" name="# of Shares" dataDxfId="8"/>
    <tableColumn id="5" name="Initial $ Invested" dataDxfId="7">
      <calculatedColumnFormula>MyPortfolio[[#This Row],[Purchase Price]]*MyPortfolio[[#This Row],['# of Shares]]</calculatedColumnFormula>
    </tableColumn>
    <tableColumn id="6" name="Profit (Loss)" dataDxfId="6">
      <calculatedColumnFormula>(MyPortfolio[[#This Row],[Sell Price]]-MyPortfolio[[#This Row],[Purchase Price]])*MyPortfolio[[#This Row],['# of Shares]]</calculatedColumnFormula>
    </tableColumn>
    <tableColumn id="7" name="ROI" dataDxfId="5">
      <calculatedColumnFormula>(MyPortfolio[[#This Row],[Sell Price]]-MyPortfolio[[#This Row],[Purchase Price]])/MyPortfolio[[#This Row],[Purchase Price]]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8" name="Analysis" displayName="Analysis" ref="E8:G9" totalsRowShown="0" headerRowDxfId="4" dataDxfId="3">
  <autoFilter ref="E8:G9">
    <filterColumn colId="0" hiddenButton="1"/>
    <filterColumn colId="1" hiddenButton="1"/>
    <filterColumn colId="2" hiddenButton="1"/>
  </autoFilter>
  <tableColumns count="3">
    <tableColumn id="1" name="Total $ Invested" dataDxfId="2">
      <calculatedColumnFormula>SUM(MyPortfolio[Initial $ Invested])</calculatedColumnFormula>
    </tableColumn>
    <tableColumn id="2" name="Total Profit (Loss)" dataDxfId="1">
      <calculatedColumnFormula>SUM(MyPortfolio[Profit (Loss)])</calculatedColumnFormula>
    </tableColumn>
    <tableColumn id="3" name="Total ROI" dataDxfId="0">
      <calculatedColumnFormula>Analysis[Total Profit (Loss)]/Analysis[Total $ Invested]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54"/>
  <sheetViews>
    <sheetView tabSelected="1" workbookViewId="0">
      <selection activeCell="H4" sqref="H4"/>
    </sheetView>
  </sheetViews>
  <sheetFormatPr defaultRowHeight="15" x14ac:dyDescent="0.25"/>
  <cols>
    <col min="1" max="1" width="16.5703125" customWidth="1"/>
    <col min="2" max="2" width="13.85546875" customWidth="1"/>
    <col min="3" max="4" width="12" customWidth="1"/>
    <col min="5" max="5" width="12.42578125" customWidth="1"/>
    <col min="6" max="6" width="14" customWidth="1"/>
    <col min="7" max="7" width="15" customWidth="1"/>
    <col min="8" max="8" width="21.42578125" customWidth="1"/>
  </cols>
  <sheetData>
    <row r="1" spans="1:8" ht="30" customHeight="1" thickBot="1" x14ac:dyDescent="0.3">
      <c r="A1" s="40" t="s">
        <v>29</v>
      </c>
      <c r="B1" s="40"/>
      <c r="C1" s="40"/>
      <c r="D1" s="41"/>
      <c r="E1" s="44" t="s">
        <v>30</v>
      </c>
      <c r="F1" s="45"/>
      <c r="G1" s="45"/>
      <c r="H1" s="46"/>
    </row>
    <row r="2" spans="1:8" ht="30" customHeight="1" thickBot="1" x14ac:dyDescent="0.3">
      <c r="A2" s="42" t="s">
        <v>5</v>
      </c>
      <c r="B2" s="42"/>
      <c r="C2" s="42"/>
      <c r="D2" s="43"/>
      <c r="E2" s="47" t="s">
        <v>31</v>
      </c>
      <c r="F2" s="47"/>
      <c r="G2" s="47"/>
      <c r="H2" s="47"/>
    </row>
    <row r="3" spans="1:8" x14ac:dyDescent="0.25">
      <c r="A3" s="13"/>
      <c r="B3" s="14"/>
      <c r="C3" s="13"/>
      <c r="D3" s="14"/>
      <c r="E3" s="14"/>
      <c r="F3" s="14"/>
      <c r="G3" s="13"/>
    </row>
    <row r="4" spans="1:8" ht="30" customHeight="1" x14ac:dyDescent="0.25">
      <c r="A4" s="9" t="s">
        <v>0</v>
      </c>
      <c r="B4" s="9" t="s">
        <v>1</v>
      </c>
      <c r="C4" s="9" t="s">
        <v>2</v>
      </c>
      <c r="D4" s="9" t="s">
        <v>3</v>
      </c>
      <c r="E4" s="9" t="s">
        <v>9</v>
      </c>
      <c r="F4" s="9" t="s">
        <v>28</v>
      </c>
      <c r="G4" s="9" t="s">
        <v>10</v>
      </c>
      <c r="H4" s="10" t="s">
        <v>4</v>
      </c>
    </row>
    <row r="5" spans="1:8" x14ac:dyDescent="0.25">
      <c r="A5" s="8">
        <v>43185</v>
      </c>
      <c r="B5" s="4">
        <v>168.070007</v>
      </c>
      <c r="C5" s="4">
        <v>173.10000600000001</v>
      </c>
      <c r="D5" s="4">
        <v>166.44000199999999</v>
      </c>
      <c r="E5" s="4">
        <v>172.770004</v>
      </c>
      <c r="F5" s="4">
        <v>170.17868000000001</v>
      </c>
      <c r="G5" s="11">
        <v>37541200</v>
      </c>
      <c r="H5" s="3" t="s">
        <v>11</v>
      </c>
    </row>
    <row r="6" spans="1:8" x14ac:dyDescent="0.25">
      <c r="A6" s="8">
        <v>43186</v>
      </c>
      <c r="B6" s="4">
        <v>173.679993</v>
      </c>
      <c r="C6" s="4">
        <v>175.14999399999999</v>
      </c>
      <c r="D6" s="4">
        <v>166.91999799999999</v>
      </c>
      <c r="E6" s="4">
        <v>168.33999600000001</v>
      </c>
      <c r="F6" s="4">
        <v>165.81510900000001</v>
      </c>
      <c r="G6" s="11">
        <v>40922600</v>
      </c>
      <c r="H6" s="3">
        <f>(AAPL[[#This Row],[Close]]-E5)/E5</f>
        <v>-2.5641071351714426E-2</v>
      </c>
    </row>
    <row r="7" spans="1:8" x14ac:dyDescent="0.25">
      <c r="A7" s="8">
        <v>43187</v>
      </c>
      <c r="B7" s="4">
        <v>167.25</v>
      </c>
      <c r="C7" s="4">
        <v>170.020004</v>
      </c>
      <c r="D7" s="4">
        <v>165.19000199999999</v>
      </c>
      <c r="E7" s="4">
        <v>166.479996</v>
      </c>
      <c r="F7" s="4">
        <v>163.983002</v>
      </c>
      <c r="G7" s="11">
        <v>41668500</v>
      </c>
      <c r="H7" s="3">
        <f>(AAPL[[#This Row],[Close]]-E6)/E6</f>
        <v>-1.104906762621055E-2</v>
      </c>
    </row>
    <row r="8" spans="1:8" x14ac:dyDescent="0.25">
      <c r="A8" s="8">
        <v>43188</v>
      </c>
      <c r="B8" s="4">
        <v>167.80999800000001</v>
      </c>
      <c r="C8" s="4">
        <v>171.75</v>
      </c>
      <c r="D8" s="4">
        <v>166.89999399999999</v>
      </c>
      <c r="E8" s="4">
        <v>167.779999</v>
      </c>
      <c r="F8" s="4">
        <v>165.26350400000001</v>
      </c>
      <c r="G8" s="11">
        <v>38398500</v>
      </c>
      <c r="H8" s="3">
        <f>(AAPL[[#This Row],[Close]]-E7)/E7</f>
        <v>7.808764003093824E-3</v>
      </c>
    </row>
    <row r="9" spans="1:8" x14ac:dyDescent="0.25">
      <c r="A9" s="8">
        <v>43192</v>
      </c>
      <c r="B9" s="4">
        <v>166.63999899999999</v>
      </c>
      <c r="C9" s="4">
        <v>168.94000199999999</v>
      </c>
      <c r="D9" s="4">
        <v>164.470001</v>
      </c>
      <c r="E9" s="4">
        <v>166.679993</v>
      </c>
      <c r="F9" s="4">
        <v>164.18000799999999</v>
      </c>
      <c r="G9" s="11">
        <v>37586800</v>
      </c>
      <c r="H9" s="3">
        <f>(AAPL[[#This Row],[Close]]-E8)/E8</f>
        <v>-6.5562403537742751E-3</v>
      </c>
    </row>
    <row r="10" spans="1:8" x14ac:dyDescent="0.25">
      <c r="A10" s="8">
        <v>43193</v>
      </c>
      <c r="B10" s="4">
        <v>167.63999899999999</v>
      </c>
      <c r="C10" s="4">
        <v>168.75</v>
      </c>
      <c r="D10" s="4">
        <v>164.88000500000001</v>
      </c>
      <c r="E10" s="4">
        <v>168.38999899999999</v>
      </c>
      <c r="F10" s="4">
        <v>165.864349</v>
      </c>
      <c r="G10" s="11">
        <v>30278000</v>
      </c>
      <c r="H10" s="3">
        <f>(AAPL[[#This Row],[Close]]-E9)/E9</f>
        <v>1.0259215693631526E-2</v>
      </c>
    </row>
    <row r="11" spans="1:8" x14ac:dyDescent="0.25">
      <c r="A11" s="8">
        <v>43194</v>
      </c>
      <c r="B11" s="4">
        <v>164.88000500000001</v>
      </c>
      <c r="C11" s="4">
        <v>172.009995</v>
      </c>
      <c r="D11" s="4">
        <v>164.770004</v>
      </c>
      <c r="E11" s="4">
        <v>171.61000100000001</v>
      </c>
      <c r="F11" s="4">
        <v>169.03607199999999</v>
      </c>
      <c r="G11" s="11">
        <v>34605500</v>
      </c>
      <c r="H11" s="3">
        <f>(AAPL[[#This Row],[Close]]-E10)/E10</f>
        <v>1.9122287660326087E-2</v>
      </c>
    </row>
    <row r="12" spans="1:8" x14ac:dyDescent="0.25">
      <c r="A12" s="8">
        <v>43195</v>
      </c>
      <c r="B12" s="4">
        <v>172.58000200000001</v>
      </c>
      <c r="C12" s="4">
        <v>174.229996</v>
      </c>
      <c r="D12" s="4">
        <v>172.08000200000001</v>
      </c>
      <c r="E12" s="4">
        <v>172.800003</v>
      </c>
      <c r="F12" s="4">
        <v>170.20820599999999</v>
      </c>
      <c r="G12" s="11">
        <v>26933200</v>
      </c>
      <c r="H12" s="3">
        <f>(AAPL[[#This Row],[Close]]-E11)/E11</f>
        <v>6.9343394502980778E-3</v>
      </c>
    </row>
    <row r="13" spans="1:8" x14ac:dyDescent="0.25">
      <c r="A13" s="8">
        <v>43196</v>
      </c>
      <c r="B13" s="4">
        <v>170.970001</v>
      </c>
      <c r="C13" s="4">
        <v>172.479996</v>
      </c>
      <c r="D13" s="4">
        <v>168.199997</v>
      </c>
      <c r="E13" s="4">
        <v>168.38000500000001</v>
      </c>
      <c r="F13" s="4">
        <v>165.854523</v>
      </c>
      <c r="G13" s="11">
        <v>35005300</v>
      </c>
      <c r="H13" s="3">
        <f>(AAPL[[#This Row],[Close]]-E12)/E12</f>
        <v>-2.5578691685555079E-2</v>
      </c>
    </row>
    <row r="14" spans="1:8" x14ac:dyDescent="0.25">
      <c r="A14" s="8">
        <v>43199</v>
      </c>
      <c r="B14" s="4">
        <v>169.88000500000001</v>
      </c>
      <c r="C14" s="4">
        <v>173.08999600000001</v>
      </c>
      <c r="D14" s="4">
        <v>169.85000600000001</v>
      </c>
      <c r="E14" s="4">
        <v>170.050003</v>
      </c>
      <c r="F14" s="4">
        <v>167.49946600000001</v>
      </c>
      <c r="G14" s="11">
        <v>29017700</v>
      </c>
      <c r="H14" s="3">
        <f>(AAPL[[#This Row],[Close]]-E13)/E13</f>
        <v>9.9180303504563527E-3</v>
      </c>
    </row>
    <row r="15" spans="1:8" x14ac:dyDescent="0.25">
      <c r="A15" s="8">
        <v>43200</v>
      </c>
      <c r="B15" s="4">
        <v>173</v>
      </c>
      <c r="C15" s="4">
        <v>174</v>
      </c>
      <c r="D15" s="4">
        <v>171.529999</v>
      </c>
      <c r="E15" s="4">
        <v>173.25</v>
      </c>
      <c r="F15" s="4">
        <v>170.65145899999999</v>
      </c>
      <c r="G15" s="11">
        <v>28408600</v>
      </c>
      <c r="H15" s="3">
        <f>(AAPL[[#This Row],[Close]]-E14)/E14</f>
        <v>1.8817976733584627E-2</v>
      </c>
    </row>
    <row r="16" spans="1:8" x14ac:dyDescent="0.25">
      <c r="A16" s="8">
        <v>43201</v>
      </c>
      <c r="B16" s="4">
        <v>172.229996</v>
      </c>
      <c r="C16" s="4">
        <v>173.91999799999999</v>
      </c>
      <c r="D16" s="4">
        <v>171.699997</v>
      </c>
      <c r="E16" s="4">
        <v>172.44000199999999</v>
      </c>
      <c r="F16" s="4">
        <v>169.853622</v>
      </c>
      <c r="G16" s="11">
        <v>22431600</v>
      </c>
      <c r="H16" s="3">
        <f>(AAPL[[#This Row],[Close]]-E15)/E15</f>
        <v>-4.6753131313131734E-3</v>
      </c>
    </row>
    <row r="17" spans="1:8" x14ac:dyDescent="0.25">
      <c r="A17" s="8">
        <v>43202</v>
      </c>
      <c r="B17" s="4">
        <v>173.41000399999999</v>
      </c>
      <c r="C17" s="4">
        <v>175</v>
      </c>
      <c r="D17" s="4">
        <v>173.03999300000001</v>
      </c>
      <c r="E17" s="4">
        <v>174.13999899999999</v>
      </c>
      <c r="F17" s="4">
        <v>171.52810700000001</v>
      </c>
      <c r="G17" s="11">
        <v>22889300</v>
      </c>
      <c r="H17" s="3">
        <f>(AAPL[[#This Row],[Close]]-E16)/E16</f>
        <v>9.8584839960741601E-3</v>
      </c>
    </row>
    <row r="18" spans="1:8" x14ac:dyDescent="0.25">
      <c r="A18" s="8">
        <v>43203</v>
      </c>
      <c r="B18" s="4">
        <v>174.779999</v>
      </c>
      <c r="C18" s="4">
        <v>175.83999600000001</v>
      </c>
      <c r="D18" s="4">
        <v>173.85000600000001</v>
      </c>
      <c r="E18" s="4">
        <v>174.729996</v>
      </c>
      <c r="F18" s="4">
        <v>172.10926799999999</v>
      </c>
      <c r="G18" s="11">
        <v>25124300</v>
      </c>
      <c r="H18" s="3">
        <f>(AAPL[[#This Row],[Close]]-E17)/E17</f>
        <v>3.3880613494204227E-3</v>
      </c>
    </row>
    <row r="19" spans="1:8" x14ac:dyDescent="0.25">
      <c r="A19" s="8">
        <v>43206</v>
      </c>
      <c r="B19" s="4">
        <v>175.029999</v>
      </c>
      <c r="C19" s="4">
        <v>176.19000199999999</v>
      </c>
      <c r="D19" s="4">
        <v>174.83000200000001</v>
      </c>
      <c r="E19" s="4">
        <v>175.820007</v>
      </c>
      <c r="F19" s="4">
        <v>173.18292199999999</v>
      </c>
      <c r="G19" s="11">
        <v>21578400</v>
      </c>
      <c r="H19" s="3">
        <f>(AAPL[[#This Row],[Close]]-E18)/E18</f>
        <v>6.2382591710240989E-3</v>
      </c>
    </row>
    <row r="20" spans="1:8" x14ac:dyDescent="0.25">
      <c r="A20" s="8">
        <v>43207</v>
      </c>
      <c r="B20" s="4">
        <v>176.490005</v>
      </c>
      <c r="C20" s="4">
        <v>178.94000199999999</v>
      </c>
      <c r="D20" s="4">
        <v>176.41000399999999</v>
      </c>
      <c r="E20" s="4">
        <v>178.240005</v>
      </c>
      <c r="F20" s="4">
        <v>175.56662</v>
      </c>
      <c r="G20" s="11">
        <v>26509000</v>
      </c>
      <c r="H20" s="3">
        <f>(AAPL[[#This Row],[Close]]-E19)/E19</f>
        <v>1.3764064973561243E-2</v>
      </c>
    </row>
    <row r="21" spans="1:8" x14ac:dyDescent="0.25">
      <c r="A21" s="8">
        <v>43208</v>
      </c>
      <c r="B21" s="4">
        <v>177.80999800000001</v>
      </c>
      <c r="C21" s="4">
        <v>178.820007</v>
      </c>
      <c r="D21" s="4">
        <v>176.88000500000001</v>
      </c>
      <c r="E21" s="4">
        <v>177.83999600000001</v>
      </c>
      <c r="F21" s="4">
        <v>175.172607</v>
      </c>
      <c r="G21" s="11">
        <v>20754500</v>
      </c>
      <c r="H21" s="3">
        <f>(AAPL[[#This Row],[Close]]-E20)/E20</f>
        <v>-2.2442156013179138E-3</v>
      </c>
    </row>
    <row r="22" spans="1:8" x14ac:dyDescent="0.25">
      <c r="A22" s="8">
        <v>43209</v>
      </c>
      <c r="B22" s="4">
        <v>173.759995</v>
      </c>
      <c r="C22" s="4">
        <v>175.38999899999999</v>
      </c>
      <c r="D22" s="4">
        <v>172.66000399999999</v>
      </c>
      <c r="E22" s="4">
        <v>172.800003</v>
      </c>
      <c r="F22" s="4">
        <v>170.20820599999999</v>
      </c>
      <c r="G22" s="11">
        <v>34808800</v>
      </c>
      <c r="H22" s="3">
        <f>(AAPL[[#This Row],[Close]]-E21)/E21</f>
        <v>-2.8340042247864249E-2</v>
      </c>
    </row>
    <row r="23" spans="1:8" x14ac:dyDescent="0.25">
      <c r="A23" s="8">
        <v>43210</v>
      </c>
      <c r="B23" s="4">
        <v>170.60000600000001</v>
      </c>
      <c r="C23" s="4">
        <v>171.220001</v>
      </c>
      <c r="D23" s="4">
        <v>165.429993</v>
      </c>
      <c r="E23" s="4">
        <v>165.720001</v>
      </c>
      <c r="F23" s="4">
        <v>163.23438999999999</v>
      </c>
      <c r="G23" s="11">
        <v>65491100</v>
      </c>
      <c r="H23" s="3">
        <f>(AAPL[[#This Row],[Close]]-E22)/E22</f>
        <v>-4.0972233084972845E-2</v>
      </c>
    </row>
    <row r="24" spans="1:8" x14ac:dyDescent="0.25">
      <c r="A24" s="8">
        <v>43213</v>
      </c>
      <c r="B24" s="4">
        <v>166.83000200000001</v>
      </c>
      <c r="C24" s="4">
        <v>166.91999799999999</v>
      </c>
      <c r="D24" s="4">
        <v>164.08999600000001</v>
      </c>
      <c r="E24" s="4">
        <v>165.240005</v>
      </c>
      <c r="F24" s="4">
        <v>162.76159699999999</v>
      </c>
      <c r="G24" s="11">
        <v>36515500</v>
      </c>
      <c r="H24" s="3">
        <f>(AAPL[[#This Row],[Close]]-E23)/E23</f>
        <v>-2.8964276919114904E-3</v>
      </c>
    </row>
    <row r="25" spans="1:8" x14ac:dyDescent="0.25">
      <c r="A25" s="8">
        <v>43214</v>
      </c>
      <c r="B25" s="4">
        <v>165.66999799999999</v>
      </c>
      <c r="C25" s="4">
        <v>166.33000200000001</v>
      </c>
      <c r="D25" s="4">
        <v>161.220001</v>
      </c>
      <c r="E25" s="4">
        <v>162.94000199999999</v>
      </c>
      <c r="F25" s="4">
        <v>160.49610899999999</v>
      </c>
      <c r="G25" s="11">
        <v>33692000</v>
      </c>
      <c r="H25" s="3">
        <f>(AAPL[[#This Row],[Close]]-E24)/E24</f>
        <v>-1.3919165640306074E-2</v>
      </c>
    </row>
    <row r="26" spans="1:8" x14ac:dyDescent="0.25">
      <c r="A26" s="8">
        <v>43215</v>
      </c>
      <c r="B26" s="4">
        <v>162.61999499999999</v>
      </c>
      <c r="C26" s="4">
        <v>165.41999799999999</v>
      </c>
      <c r="D26" s="4">
        <v>162.41000399999999</v>
      </c>
      <c r="E26" s="4">
        <v>163.64999399999999</v>
      </c>
      <c r="F26" s="4">
        <v>161.19544999999999</v>
      </c>
      <c r="G26" s="11">
        <v>28382100</v>
      </c>
      <c r="H26" s="3">
        <f>(AAPL[[#This Row],[Close]]-E25)/E25</f>
        <v>4.3573830323139417E-3</v>
      </c>
    </row>
    <row r="27" spans="1:8" x14ac:dyDescent="0.25">
      <c r="A27" s="8">
        <v>43216</v>
      </c>
      <c r="B27" s="4">
        <v>164.11999499999999</v>
      </c>
      <c r="C27" s="4">
        <v>165.729996</v>
      </c>
      <c r="D27" s="4">
        <v>163.36999499999999</v>
      </c>
      <c r="E27" s="4">
        <v>164.220001</v>
      </c>
      <c r="F27" s="4">
        <v>161.756912</v>
      </c>
      <c r="G27" s="11">
        <v>27963000</v>
      </c>
      <c r="H27" s="3">
        <f>(AAPL[[#This Row],[Close]]-E26)/E26</f>
        <v>3.4830859816591497E-3</v>
      </c>
    </row>
    <row r="28" spans="1:8" x14ac:dyDescent="0.25">
      <c r="A28" s="8">
        <v>43217</v>
      </c>
      <c r="B28" s="4">
        <v>164</v>
      </c>
      <c r="C28" s="4">
        <v>164.33000200000001</v>
      </c>
      <c r="D28" s="4">
        <v>160.63000500000001</v>
      </c>
      <c r="E28" s="4">
        <v>162.320007</v>
      </c>
      <c r="F28" s="4">
        <v>159.88540599999999</v>
      </c>
      <c r="G28" s="11">
        <v>35655800</v>
      </c>
      <c r="H28" s="3">
        <f>(AAPL[[#This Row],[Close]]-E27)/E27</f>
        <v>-1.1569808722629301E-2</v>
      </c>
    </row>
    <row r="29" spans="1:8" x14ac:dyDescent="0.25">
      <c r="A29" s="8">
        <v>43220</v>
      </c>
      <c r="B29" s="4">
        <v>162.13000500000001</v>
      </c>
      <c r="C29" s="4">
        <v>167.259995</v>
      </c>
      <c r="D29" s="4">
        <v>161.83999600000001</v>
      </c>
      <c r="E29" s="4">
        <v>165.259995</v>
      </c>
      <c r="F29" s="4">
        <v>162.781296</v>
      </c>
      <c r="G29" s="11">
        <v>42427400</v>
      </c>
      <c r="H29" s="3">
        <f>(AAPL[[#This Row],[Close]]-E28)/E28</f>
        <v>1.8112295916793544E-2</v>
      </c>
    </row>
    <row r="30" spans="1:8" x14ac:dyDescent="0.25">
      <c r="A30" s="8">
        <v>43221</v>
      </c>
      <c r="B30" s="4">
        <v>166.41000399999999</v>
      </c>
      <c r="C30" s="4">
        <v>169.199997</v>
      </c>
      <c r="D30" s="4">
        <v>165.270004</v>
      </c>
      <c r="E30" s="4">
        <v>169.10000600000001</v>
      </c>
      <c r="F30" s="4">
        <v>166.563705</v>
      </c>
      <c r="G30" s="11">
        <v>53569400</v>
      </c>
      <c r="H30" s="3">
        <f>(AAPL[[#This Row],[Close]]-E29)/E29</f>
        <v>2.3236180056764519E-2</v>
      </c>
    </row>
    <row r="31" spans="1:8" x14ac:dyDescent="0.25">
      <c r="A31" s="8">
        <v>43222</v>
      </c>
      <c r="B31" s="4">
        <v>175.229996</v>
      </c>
      <c r="C31" s="4">
        <v>177.75</v>
      </c>
      <c r="D31" s="4">
        <v>173.800003</v>
      </c>
      <c r="E31" s="4">
        <v>176.570007</v>
      </c>
      <c r="F31" s="4">
        <v>173.92167699999999</v>
      </c>
      <c r="G31" s="11">
        <v>66539400</v>
      </c>
      <c r="H31" s="3">
        <f>(AAPL[[#This Row],[Close]]-E30)/E30</f>
        <v>4.417504869869724E-2</v>
      </c>
    </row>
    <row r="32" spans="1:8" x14ac:dyDescent="0.25">
      <c r="A32" s="8">
        <v>43223</v>
      </c>
      <c r="B32" s="4">
        <v>175.88000500000001</v>
      </c>
      <c r="C32" s="4">
        <v>177.5</v>
      </c>
      <c r="D32" s="4">
        <v>174.44000199999999</v>
      </c>
      <c r="E32" s="4">
        <v>176.88999899999999</v>
      </c>
      <c r="F32" s="4">
        <v>174.236862</v>
      </c>
      <c r="G32" s="11">
        <v>34068200</v>
      </c>
      <c r="H32" s="3">
        <f>(AAPL[[#This Row],[Close]]-E31)/E31</f>
        <v>1.8122670176933557E-3</v>
      </c>
    </row>
    <row r="33" spans="1:8" x14ac:dyDescent="0.25">
      <c r="A33" s="8">
        <v>43224</v>
      </c>
      <c r="B33" s="4">
        <v>178.25</v>
      </c>
      <c r="C33" s="4">
        <v>184.25</v>
      </c>
      <c r="D33" s="4">
        <v>178.16999799999999</v>
      </c>
      <c r="E33" s="4">
        <v>183.83000200000001</v>
      </c>
      <c r="F33" s="4">
        <v>181.07276899999999</v>
      </c>
      <c r="G33" s="11">
        <v>56201300</v>
      </c>
      <c r="H33" s="3">
        <f>(AAPL[[#This Row],[Close]]-E32)/E32</f>
        <v>3.9233439082104464E-2</v>
      </c>
    </row>
    <row r="34" spans="1:8" x14ac:dyDescent="0.25">
      <c r="A34" s="8">
        <v>43227</v>
      </c>
      <c r="B34" s="4">
        <v>185.179993</v>
      </c>
      <c r="C34" s="4">
        <v>187.66999799999999</v>
      </c>
      <c r="D34" s="4">
        <v>184.75</v>
      </c>
      <c r="E34" s="4">
        <v>185.16000399999999</v>
      </c>
      <c r="F34" s="4">
        <v>182.382813</v>
      </c>
      <c r="G34" s="11">
        <v>42451400</v>
      </c>
      <c r="H34" s="3">
        <f>(AAPL[[#This Row],[Close]]-E33)/E33</f>
        <v>7.2349561308277582E-3</v>
      </c>
    </row>
    <row r="35" spans="1:8" x14ac:dyDescent="0.25">
      <c r="A35" s="8">
        <v>43228</v>
      </c>
      <c r="B35" s="4">
        <v>184.990005</v>
      </c>
      <c r="C35" s="4">
        <v>186.220001</v>
      </c>
      <c r="D35" s="4">
        <v>183.66999799999999</v>
      </c>
      <c r="E35" s="4">
        <v>186.050003</v>
      </c>
      <c r="F35" s="4">
        <v>183.25947600000001</v>
      </c>
      <c r="G35" s="11">
        <v>28402800</v>
      </c>
      <c r="H35" s="3">
        <f>(AAPL[[#This Row],[Close]]-E34)/E34</f>
        <v>4.8066482003317375E-3</v>
      </c>
    </row>
    <row r="36" spans="1:8" x14ac:dyDescent="0.25">
      <c r="A36" s="8">
        <v>43229</v>
      </c>
      <c r="B36" s="4">
        <v>186.550003</v>
      </c>
      <c r="C36" s="4">
        <v>187.39999399999999</v>
      </c>
      <c r="D36" s="4">
        <v>185.220001</v>
      </c>
      <c r="E36" s="4">
        <v>187.36000100000001</v>
      </c>
      <c r="F36" s="4">
        <v>184.549835</v>
      </c>
      <c r="G36" s="11">
        <v>23211200</v>
      </c>
      <c r="H36" s="3">
        <f>(AAPL[[#This Row],[Close]]-E35)/E35</f>
        <v>7.0411071157037673E-3</v>
      </c>
    </row>
    <row r="37" spans="1:8" x14ac:dyDescent="0.25">
      <c r="A37" s="8">
        <v>43230</v>
      </c>
      <c r="B37" s="4">
        <v>187.740005</v>
      </c>
      <c r="C37" s="4">
        <v>190.36999499999999</v>
      </c>
      <c r="D37" s="4">
        <v>187.64999399999999</v>
      </c>
      <c r="E37" s="4">
        <v>190.03999300000001</v>
      </c>
      <c r="F37" s="4">
        <v>187.18962099999999</v>
      </c>
      <c r="G37" s="11">
        <v>27989300</v>
      </c>
      <c r="H37" s="3">
        <f>(AAPL[[#This Row],[Close]]-E36)/E36</f>
        <v>1.4303970888642333E-2</v>
      </c>
    </row>
    <row r="38" spans="1:8" x14ac:dyDescent="0.25">
      <c r="A38" s="8">
        <v>43231</v>
      </c>
      <c r="B38" s="4">
        <v>189.490005</v>
      </c>
      <c r="C38" s="4">
        <v>190.05999800000001</v>
      </c>
      <c r="D38" s="4">
        <v>187.449997</v>
      </c>
      <c r="E38" s="4">
        <v>188.58999600000001</v>
      </c>
      <c r="F38" s="4">
        <v>186.47769199999999</v>
      </c>
      <c r="G38" s="11">
        <v>26212200</v>
      </c>
      <c r="H38" s="3">
        <f>(AAPL[[#This Row],[Close]]-E37)/E37</f>
        <v>-7.6299571322337193E-3</v>
      </c>
    </row>
    <row r="39" spans="1:8" x14ac:dyDescent="0.25">
      <c r="A39" s="8">
        <v>43234</v>
      </c>
      <c r="B39" s="4">
        <v>189.009995</v>
      </c>
      <c r="C39" s="4">
        <v>189.529999</v>
      </c>
      <c r="D39" s="4">
        <v>187.86000100000001</v>
      </c>
      <c r="E39" s="4">
        <v>188.14999399999999</v>
      </c>
      <c r="F39" s="4">
        <v>186.042618</v>
      </c>
      <c r="G39" s="11">
        <v>20778800</v>
      </c>
      <c r="H39" s="3">
        <f>(AAPL[[#This Row],[Close]]-E38)/E38</f>
        <v>-2.3331142124846382E-3</v>
      </c>
    </row>
    <row r="40" spans="1:8" x14ac:dyDescent="0.25">
      <c r="A40" s="8">
        <v>43235</v>
      </c>
      <c r="B40" s="4">
        <v>186.779999</v>
      </c>
      <c r="C40" s="4">
        <v>187.070007</v>
      </c>
      <c r="D40" s="4">
        <v>185.10000600000001</v>
      </c>
      <c r="E40" s="4">
        <v>186.44000199999999</v>
      </c>
      <c r="F40" s="4">
        <v>184.351776</v>
      </c>
      <c r="G40" s="11">
        <v>23695200</v>
      </c>
      <c r="H40" s="3">
        <f>(AAPL[[#This Row],[Close]]-E39)/E39</f>
        <v>-9.0884509940510529E-3</v>
      </c>
    </row>
    <row r="41" spans="1:8" x14ac:dyDescent="0.25">
      <c r="A41" s="8">
        <v>43236</v>
      </c>
      <c r="B41" s="4">
        <v>186.070007</v>
      </c>
      <c r="C41" s="4">
        <v>188.46000699999999</v>
      </c>
      <c r="D41" s="4">
        <v>186</v>
      </c>
      <c r="E41" s="4">
        <v>188.179993</v>
      </c>
      <c r="F41" s="4">
        <v>186.07226600000001</v>
      </c>
      <c r="G41" s="11">
        <v>19183100</v>
      </c>
      <c r="H41" s="3">
        <f>(AAPL[[#This Row],[Close]]-E40)/E40</f>
        <v>9.3327128370230515E-3</v>
      </c>
    </row>
    <row r="42" spans="1:8" x14ac:dyDescent="0.25">
      <c r="A42" s="8">
        <v>43237</v>
      </c>
      <c r="B42" s="4">
        <v>188</v>
      </c>
      <c r="C42" s="4">
        <v>188.91000399999999</v>
      </c>
      <c r="D42" s="4">
        <v>186.36000100000001</v>
      </c>
      <c r="E42" s="4">
        <v>186.990005</v>
      </c>
      <c r="F42" s="4">
        <v>184.89561499999999</v>
      </c>
      <c r="G42" s="11">
        <v>17294000</v>
      </c>
      <c r="H42" s="3">
        <f>(AAPL[[#This Row],[Close]]-E41)/E41</f>
        <v>-6.3236690629486824E-3</v>
      </c>
    </row>
    <row r="43" spans="1:8" x14ac:dyDescent="0.25">
      <c r="A43" s="8">
        <v>43238</v>
      </c>
      <c r="B43" s="4">
        <v>187.19000199999999</v>
      </c>
      <c r="C43" s="4">
        <v>187.80999800000001</v>
      </c>
      <c r="D43" s="4">
        <v>186.13000500000001</v>
      </c>
      <c r="E43" s="4">
        <v>186.30999800000001</v>
      </c>
      <c r="F43" s="4">
        <v>184.22323600000001</v>
      </c>
      <c r="G43" s="11">
        <v>18297700</v>
      </c>
      <c r="H43" s="3">
        <f>(AAPL[[#This Row],[Close]]-E42)/E42</f>
        <v>-3.6365954426280118E-3</v>
      </c>
    </row>
    <row r="44" spans="1:8" x14ac:dyDescent="0.25">
      <c r="A44" s="8">
        <v>43241</v>
      </c>
      <c r="B44" s="4">
        <v>188</v>
      </c>
      <c r="C44" s="4">
        <v>189.270004</v>
      </c>
      <c r="D44" s="4">
        <v>186.91000399999999</v>
      </c>
      <c r="E44" s="4">
        <v>187.63000500000001</v>
      </c>
      <c r="F44" s="4">
        <v>185.52844200000001</v>
      </c>
      <c r="G44" s="11">
        <v>18400800</v>
      </c>
      <c r="H44" s="3">
        <f>(AAPL[[#This Row],[Close]]-E43)/E43</f>
        <v>7.0850035648650691E-3</v>
      </c>
    </row>
    <row r="45" spans="1:8" x14ac:dyDescent="0.25">
      <c r="A45" s="8">
        <v>43242</v>
      </c>
      <c r="B45" s="4">
        <v>188.38000500000001</v>
      </c>
      <c r="C45" s="4">
        <v>188.88000500000001</v>
      </c>
      <c r="D45" s="4">
        <v>186.779999</v>
      </c>
      <c r="E45" s="4">
        <v>187.16000399999999</v>
      </c>
      <c r="F45" s="4">
        <v>185.06372099999999</v>
      </c>
      <c r="G45" s="11">
        <v>15240700</v>
      </c>
      <c r="H45" s="3">
        <f>(AAPL[[#This Row],[Close]]-E44)/E44</f>
        <v>-2.5049351781450133E-3</v>
      </c>
    </row>
    <row r="46" spans="1:8" x14ac:dyDescent="0.25">
      <c r="A46" s="8">
        <v>43243</v>
      </c>
      <c r="B46" s="4">
        <v>186.35000600000001</v>
      </c>
      <c r="C46" s="4">
        <v>188.5</v>
      </c>
      <c r="D46" s="4">
        <v>185.759995</v>
      </c>
      <c r="E46" s="4">
        <v>188.36000100000001</v>
      </c>
      <c r="F46" s="4">
        <v>186.250259</v>
      </c>
      <c r="G46" s="11">
        <v>20058400</v>
      </c>
      <c r="H46" s="3">
        <f>(AAPL[[#This Row],[Close]]-E45)/E45</f>
        <v>6.4116102498054271E-3</v>
      </c>
    </row>
    <row r="47" spans="1:8" x14ac:dyDescent="0.25">
      <c r="A47" s="8">
        <v>43244</v>
      </c>
      <c r="B47" s="4">
        <v>188.770004</v>
      </c>
      <c r="C47" s="4">
        <v>188.83999600000001</v>
      </c>
      <c r="D47" s="4">
        <v>186.21000699999999</v>
      </c>
      <c r="E47" s="4">
        <v>188.14999399999999</v>
      </c>
      <c r="F47" s="4">
        <v>186.042618</v>
      </c>
      <c r="G47" s="11">
        <v>23234000</v>
      </c>
      <c r="H47" s="3">
        <f>(AAPL[[#This Row],[Close]]-E46)/E46</f>
        <v>-1.1149235447286852E-3</v>
      </c>
    </row>
    <row r="48" spans="1:8" x14ac:dyDescent="0.25">
      <c r="A48" s="8">
        <v>43245</v>
      </c>
      <c r="B48" s="4">
        <v>188.229996</v>
      </c>
      <c r="C48" s="4">
        <v>189.64999399999999</v>
      </c>
      <c r="D48" s="4">
        <v>187.64999399999999</v>
      </c>
      <c r="E48" s="4">
        <v>188.58000200000001</v>
      </c>
      <c r="F48" s="4">
        <v>186.467804</v>
      </c>
      <c r="G48" s="11">
        <v>17461000</v>
      </c>
      <c r="H48" s="3">
        <f>(AAPL[[#This Row],[Close]]-E47)/E47</f>
        <v>2.2854531688160195E-3</v>
      </c>
    </row>
    <row r="49" spans="1:8" x14ac:dyDescent="0.25">
      <c r="A49" s="8">
        <v>43249</v>
      </c>
      <c r="B49" s="4">
        <v>187.60000600000001</v>
      </c>
      <c r="C49" s="4">
        <v>188.75</v>
      </c>
      <c r="D49" s="4">
        <v>186.86999499999999</v>
      </c>
      <c r="E49" s="4">
        <v>187.89999399999999</v>
      </c>
      <c r="F49" s="4">
        <v>185.79542499999999</v>
      </c>
      <c r="G49" s="11">
        <v>22514100</v>
      </c>
      <c r="H49" s="3">
        <f>(AAPL[[#This Row],[Close]]-E48)/E48</f>
        <v>-3.6059390857362227E-3</v>
      </c>
    </row>
    <row r="50" spans="1:8" x14ac:dyDescent="0.25">
      <c r="A50" s="8">
        <v>43250</v>
      </c>
      <c r="B50" s="4">
        <v>187.720001</v>
      </c>
      <c r="C50" s="4">
        <v>188</v>
      </c>
      <c r="D50" s="4">
        <v>186.779999</v>
      </c>
      <c r="E50" s="4">
        <v>187.5</v>
      </c>
      <c r="F50" s="4">
        <v>185.39988700000001</v>
      </c>
      <c r="G50" s="11">
        <v>18690500</v>
      </c>
      <c r="H50" s="3">
        <f>(AAPL[[#This Row],[Close]]-E49)/E49</f>
        <v>-2.1287600466873479E-3</v>
      </c>
    </row>
    <row r="51" spans="1:8" x14ac:dyDescent="0.25">
      <c r="A51" s="8">
        <v>43251</v>
      </c>
      <c r="B51" s="4">
        <v>187.220001</v>
      </c>
      <c r="C51" s="4">
        <v>188.229996</v>
      </c>
      <c r="D51" s="4">
        <v>186.13999899999999</v>
      </c>
      <c r="E51" s="4">
        <v>186.86999499999999</v>
      </c>
      <c r="F51" s="4">
        <v>184.77694700000001</v>
      </c>
      <c r="G51" s="11">
        <v>27482800</v>
      </c>
      <c r="H51" s="3">
        <f>(AAPL[[#This Row],[Close]]-E50)/E50</f>
        <v>-3.3600266666667265E-3</v>
      </c>
    </row>
    <row r="52" spans="1:8" x14ac:dyDescent="0.25">
      <c r="A52" s="8">
        <v>43252</v>
      </c>
      <c r="B52" s="4">
        <v>187.990005</v>
      </c>
      <c r="C52" s="4">
        <v>190.259995</v>
      </c>
      <c r="D52" s="4">
        <v>187.75</v>
      </c>
      <c r="E52" s="4">
        <v>190.240005</v>
      </c>
      <c r="F52" s="4">
        <v>188.10922199999999</v>
      </c>
      <c r="G52" s="11">
        <v>23442500</v>
      </c>
      <c r="H52" s="3">
        <f>(AAPL[[#This Row],[Close]]-E51)/E51</f>
        <v>1.8033981324824287E-2</v>
      </c>
    </row>
    <row r="53" spans="1:8" x14ac:dyDescent="0.25">
      <c r="A53" s="8">
        <v>43255</v>
      </c>
      <c r="B53" s="4">
        <v>191.63999899999999</v>
      </c>
      <c r="C53" s="4">
        <v>193.41999799999999</v>
      </c>
      <c r="D53" s="4">
        <v>191.35000600000001</v>
      </c>
      <c r="E53" s="4">
        <v>191.83000200000001</v>
      </c>
      <c r="F53" s="4">
        <v>189.68139600000001</v>
      </c>
      <c r="G53" s="11">
        <v>26266200</v>
      </c>
      <c r="H53" s="3">
        <f>(AAPL[[#This Row],[Close]]-E52)/E52</f>
        <v>8.3578477618312247E-3</v>
      </c>
    </row>
    <row r="54" spans="1:8" x14ac:dyDescent="0.25">
      <c r="A54" s="8">
        <v>43256</v>
      </c>
      <c r="B54" s="4">
        <v>193.070007</v>
      </c>
      <c r="C54" s="4">
        <v>193.94000199999999</v>
      </c>
      <c r="D54" s="4">
        <v>192.36000100000001</v>
      </c>
      <c r="E54" s="4">
        <v>193.30999800000001</v>
      </c>
      <c r="F54" s="4">
        <v>191.14482100000001</v>
      </c>
      <c r="G54" s="11">
        <v>21566000</v>
      </c>
      <c r="H54" s="3">
        <f>(AAPL[[#This Row],[Close]]-E53)/E53</f>
        <v>7.7151435363066925E-3</v>
      </c>
    </row>
    <row r="55" spans="1:8" x14ac:dyDescent="0.25">
      <c r="A55" s="8">
        <v>43257</v>
      </c>
      <c r="B55" s="4">
        <v>193.63000500000001</v>
      </c>
      <c r="C55" s="4">
        <v>194.08000200000001</v>
      </c>
      <c r="D55" s="4">
        <v>191.91999799999999</v>
      </c>
      <c r="E55" s="4">
        <v>193.979996</v>
      </c>
      <c r="F55" s="4">
        <v>191.807312</v>
      </c>
      <c r="G55" s="11">
        <v>20933600</v>
      </c>
      <c r="H55" s="3">
        <f>(AAPL[[#This Row],[Close]]-E54)/E54</f>
        <v>3.4659252337273963E-3</v>
      </c>
    </row>
    <row r="56" spans="1:8" x14ac:dyDescent="0.25">
      <c r="A56" s="8">
        <v>43258</v>
      </c>
      <c r="B56" s="4">
        <v>194.13999899999999</v>
      </c>
      <c r="C56" s="4">
        <v>194.199997</v>
      </c>
      <c r="D56" s="4">
        <v>192.33999600000001</v>
      </c>
      <c r="E56" s="4">
        <v>193.46000699999999</v>
      </c>
      <c r="F56" s="4">
        <v>191.29315199999999</v>
      </c>
      <c r="G56" s="11">
        <v>21347200</v>
      </c>
      <c r="H56" s="3">
        <f>(AAPL[[#This Row],[Close]]-E55)/E55</f>
        <v>-2.6806320791965045E-3</v>
      </c>
    </row>
    <row r="57" spans="1:8" x14ac:dyDescent="0.25">
      <c r="A57" s="8">
        <v>43259</v>
      </c>
      <c r="B57" s="4">
        <v>191.16999799999999</v>
      </c>
      <c r="C57" s="4">
        <v>192</v>
      </c>
      <c r="D57" s="4">
        <v>189.770004</v>
      </c>
      <c r="E57" s="4">
        <v>191.699997</v>
      </c>
      <c r="F57" s="4">
        <v>189.55285599999999</v>
      </c>
      <c r="G57" s="11">
        <v>26656800</v>
      </c>
      <c r="H57" s="3">
        <f>(AAPL[[#This Row],[Close]]-E56)/E56</f>
        <v>-9.0975392138799727E-3</v>
      </c>
    </row>
    <row r="58" spans="1:8" x14ac:dyDescent="0.25">
      <c r="A58" s="8">
        <v>43262</v>
      </c>
      <c r="B58" s="4">
        <v>191.35000600000001</v>
      </c>
      <c r="C58" s="4">
        <v>191.970001</v>
      </c>
      <c r="D58" s="4">
        <v>190.21000699999999</v>
      </c>
      <c r="E58" s="4">
        <v>191.229996</v>
      </c>
      <c r="F58" s="4">
        <v>189.08813499999999</v>
      </c>
      <c r="G58" s="11">
        <v>18308500</v>
      </c>
      <c r="H58" s="3">
        <f>(AAPL[[#This Row],[Close]]-E57)/E57</f>
        <v>-2.4517527770227163E-3</v>
      </c>
    </row>
    <row r="59" spans="1:8" x14ac:dyDescent="0.25">
      <c r="A59" s="8">
        <v>43263</v>
      </c>
      <c r="B59" s="4">
        <v>191.38999899999999</v>
      </c>
      <c r="C59" s="4">
        <v>192.61000100000001</v>
      </c>
      <c r="D59" s="4">
        <v>191.14999399999999</v>
      </c>
      <c r="E59" s="4">
        <v>192.279999</v>
      </c>
      <c r="F59" s="4">
        <v>190.12635800000001</v>
      </c>
      <c r="G59" s="11">
        <v>16911100</v>
      </c>
      <c r="H59" s="3">
        <f>(AAPL[[#This Row],[Close]]-E58)/E58</f>
        <v>5.4907860793973126E-3</v>
      </c>
    </row>
    <row r="60" spans="1:8" x14ac:dyDescent="0.25">
      <c r="A60" s="8">
        <v>43264</v>
      </c>
      <c r="B60" s="4">
        <v>192.41999799999999</v>
      </c>
      <c r="C60" s="4">
        <v>192.88000500000001</v>
      </c>
      <c r="D60" s="4">
        <v>190.44000199999999</v>
      </c>
      <c r="E60" s="4">
        <v>190.699997</v>
      </c>
      <c r="F60" s="4">
        <v>188.56405599999999</v>
      </c>
      <c r="G60" s="11">
        <v>21638400</v>
      </c>
      <c r="H60" s="3">
        <f>(AAPL[[#This Row],[Close]]-E59)/E59</f>
        <v>-8.217193718624928E-3</v>
      </c>
    </row>
    <row r="61" spans="1:8" x14ac:dyDescent="0.25">
      <c r="A61" s="8">
        <v>43265</v>
      </c>
      <c r="B61" s="4">
        <v>191.550003</v>
      </c>
      <c r="C61" s="4">
        <v>191.570007</v>
      </c>
      <c r="D61" s="4">
        <v>190.220001</v>
      </c>
      <c r="E61" s="4">
        <v>190.800003</v>
      </c>
      <c r="F61" s="4">
        <v>188.66293300000001</v>
      </c>
      <c r="G61" s="11">
        <v>21610100</v>
      </c>
      <c r="H61" s="3">
        <f>(AAPL[[#This Row],[Close]]-E60)/E60</f>
        <v>5.2441532025827766E-4</v>
      </c>
    </row>
    <row r="62" spans="1:8" x14ac:dyDescent="0.25">
      <c r="A62" s="8">
        <v>43266</v>
      </c>
      <c r="B62" s="4">
        <v>190.029999</v>
      </c>
      <c r="C62" s="4">
        <v>190.16000399999999</v>
      </c>
      <c r="D62" s="4">
        <v>188.259995</v>
      </c>
      <c r="E62" s="4">
        <v>188.83999600000001</v>
      </c>
      <c r="F62" s="4">
        <v>186.724884</v>
      </c>
      <c r="G62" s="11">
        <v>61719200</v>
      </c>
      <c r="H62" s="3">
        <f>(AAPL[[#This Row],[Close]]-E61)/E61</f>
        <v>-1.0272573213743556E-2</v>
      </c>
    </row>
    <row r="63" spans="1:8" x14ac:dyDescent="0.25">
      <c r="A63" s="8">
        <v>43269</v>
      </c>
      <c r="B63" s="4">
        <v>187.88000500000001</v>
      </c>
      <c r="C63" s="4">
        <v>189.220001</v>
      </c>
      <c r="D63" s="4">
        <v>187.199997</v>
      </c>
      <c r="E63" s="4">
        <v>188.740005</v>
      </c>
      <c r="F63" s="4">
        <v>186.62602200000001</v>
      </c>
      <c r="G63" s="11">
        <v>18484900</v>
      </c>
      <c r="H63" s="3">
        <f>(AAPL[[#This Row],[Close]]-E62)/E62</f>
        <v>-5.2950117622337285E-4</v>
      </c>
    </row>
    <row r="64" spans="1:8" x14ac:dyDescent="0.25">
      <c r="A64" s="8">
        <v>43270</v>
      </c>
      <c r="B64" s="4">
        <v>185.13999899999999</v>
      </c>
      <c r="C64" s="4">
        <v>186.33000200000001</v>
      </c>
      <c r="D64" s="4">
        <v>183.449997</v>
      </c>
      <c r="E64" s="4">
        <v>185.69000199999999</v>
      </c>
      <c r="F64" s="4">
        <v>183.61016799999999</v>
      </c>
      <c r="G64" s="11">
        <v>33578500</v>
      </c>
      <c r="H64" s="3">
        <f>(AAPL[[#This Row],[Close]]-E63)/E63</f>
        <v>-1.6159812012297041E-2</v>
      </c>
    </row>
    <row r="65" spans="1:8" x14ac:dyDescent="0.25">
      <c r="A65" s="8">
        <v>43271</v>
      </c>
      <c r="B65" s="4">
        <v>186.35000600000001</v>
      </c>
      <c r="C65" s="4">
        <v>187.199997</v>
      </c>
      <c r="D65" s="4">
        <v>185.729996</v>
      </c>
      <c r="E65" s="4">
        <v>186.5</v>
      </c>
      <c r="F65" s="4">
        <v>184.411102</v>
      </c>
      <c r="G65" s="11">
        <v>20628700</v>
      </c>
      <c r="H65" s="3">
        <f>(AAPL[[#This Row],[Close]]-E64)/E64</f>
        <v>4.3620980735409078E-3</v>
      </c>
    </row>
    <row r="66" spans="1:8" x14ac:dyDescent="0.25">
      <c r="A66" s="8">
        <v>43272</v>
      </c>
      <c r="B66" s="4">
        <v>187.25</v>
      </c>
      <c r="C66" s="4">
        <v>188.35000600000001</v>
      </c>
      <c r="D66" s="4">
        <v>184.94000199999999</v>
      </c>
      <c r="E66" s="4">
        <v>185.46000699999999</v>
      </c>
      <c r="F66" s="4">
        <v>183.38275100000001</v>
      </c>
      <c r="G66" s="11">
        <v>25711900</v>
      </c>
      <c r="H66" s="3">
        <f>(AAPL[[#This Row],[Close]]-E65)/E65</f>
        <v>-5.576369973190401E-3</v>
      </c>
    </row>
    <row r="67" spans="1:8" x14ac:dyDescent="0.25">
      <c r="A67" s="8">
        <v>43273</v>
      </c>
      <c r="B67" s="4">
        <v>186.11999499999999</v>
      </c>
      <c r="C67" s="4">
        <v>186.14999399999999</v>
      </c>
      <c r="D67" s="4">
        <v>184.699997</v>
      </c>
      <c r="E67" s="4">
        <v>184.91999799999999</v>
      </c>
      <c r="F67" s="4">
        <v>182.84878499999999</v>
      </c>
      <c r="G67" s="11">
        <v>27200400</v>
      </c>
      <c r="H67" s="3">
        <f>(AAPL[[#This Row],[Close]]-E66)/E66</f>
        <v>-2.9117274863469499E-3</v>
      </c>
    </row>
    <row r="68" spans="1:8" x14ac:dyDescent="0.25">
      <c r="A68" s="8">
        <v>43276</v>
      </c>
      <c r="B68" s="4">
        <v>183.39999399999999</v>
      </c>
      <c r="C68" s="4">
        <v>184.91999799999999</v>
      </c>
      <c r="D68" s="4">
        <v>180.729996</v>
      </c>
      <c r="E68" s="4">
        <v>182.16999799999999</v>
      </c>
      <c r="F68" s="4">
        <v>180.12960799999999</v>
      </c>
      <c r="G68" s="11">
        <v>31663100</v>
      </c>
      <c r="H68" s="3">
        <f>(AAPL[[#This Row],[Close]]-E67)/E67</f>
        <v>-1.4871295856276183E-2</v>
      </c>
    </row>
    <row r="69" spans="1:8" x14ac:dyDescent="0.25">
      <c r="A69" s="8">
        <v>43277</v>
      </c>
      <c r="B69" s="4">
        <v>182.990005</v>
      </c>
      <c r="C69" s="4">
        <v>186.529999</v>
      </c>
      <c r="D69" s="4">
        <v>182.53999300000001</v>
      </c>
      <c r="E69" s="4">
        <v>184.429993</v>
      </c>
      <c r="F69" s="4">
        <v>182.36428799999999</v>
      </c>
      <c r="G69" s="11">
        <v>24569200</v>
      </c>
      <c r="H69" s="3">
        <f>(AAPL[[#This Row],[Close]]-E68)/E68</f>
        <v>1.2405967090146224E-2</v>
      </c>
    </row>
    <row r="70" spans="1:8" x14ac:dyDescent="0.25">
      <c r="A70" s="8">
        <v>43278</v>
      </c>
      <c r="B70" s="4">
        <v>185.229996</v>
      </c>
      <c r="C70" s="4">
        <v>187.279999</v>
      </c>
      <c r="D70" s="4">
        <v>184.029999</v>
      </c>
      <c r="E70" s="4">
        <v>184.16000399999999</v>
      </c>
      <c r="F70" s="4">
        <v>182.09732099999999</v>
      </c>
      <c r="G70" s="11">
        <v>25285300</v>
      </c>
      <c r="H70" s="3">
        <f>(AAPL[[#This Row],[Close]]-E69)/E69</f>
        <v>-1.4639104822826165E-3</v>
      </c>
    </row>
    <row r="71" spans="1:8" x14ac:dyDescent="0.25">
      <c r="A71" s="8">
        <v>43279</v>
      </c>
      <c r="B71" s="4">
        <v>184.10000600000001</v>
      </c>
      <c r="C71" s="4">
        <v>186.21000699999999</v>
      </c>
      <c r="D71" s="4">
        <v>183.800003</v>
      </c>
      <c r="E71" s="4">
        <v>185.5</v>
      </c>
      <c r="F71" s="4">
        <v>183.422302</v>
      </c>
      <c r="G71" s="11">
        <v>17365200</v>
      </c>
      <c r="H71" s="3">
        <f>(AAPL[[#This Row],[Close]]-E70)/E70</f>
        <v>7.2762596160674152E-3</v>
      </c>
    </row>
    <row r="72" spans="1:8" x14ac:dyDescent="0.25">
      <c r="A72" s="8">
        <v>43280</v>
      </c>
      <c r="B72" s="4">
        <v>186.28999300000001</v>
      </c>
      <c r="C72" s="4">
        <v>187.19000199999999</v>
      </c>
      <c r="D72" s="4">
        <v>182.91000399999999</v>
      </c>
      <c r="E72" s="4">
        <v>185.11000100000001</v>
      </c>
      <c r="F72" s="4">
        <v>183.03668200000001</v>
      </c>
      <c r="G72" s="11">
        <v>22737700</v>
      </c>
      <c r="H72" s="3">
        <f>(AAPL[[#This Row],[Close]]-E71)/E71</f>
        <v>-2.1024204851751421E-3</v>
      </c>
    </row>
    <row r="73" spans="1:8" x14ac:dyDescent="0.25">
      <c r="A73" s="8">
        <v>43283</v>
      </c>
      <c r="B73" s="4">
        <v>183.820007</v>
      </c>
      <c r="C73" s="4">
        <v>187.300003</v>
      </c>
      <c r="D73" s="4">
        <v>183.41999799999999</v>
      </c>
      <c r="E73" s="4">
        <v>187.179993</v>
      </c>
      <c r="F73" s="4">
        <v>185.08346599999999</v>
      </c>
      <c r="G73" s="11">
        <v>17731300</v>
      </c>
      <c r="H73" s="3">
        <f>(AAPL[[#This Row],[Close]]-E72)/E72</f>
        <v>1.1182496833328767E-2</v>
      </c>
    </row>
    <row r="74" spans="1:8" x14ac:dyDescent="0.25">
      <c r="A74" s="8">
        <v>43284</v>
      </c>
      <c r="B74" s="4">
        <v>187.78999300000001</v>
      </c>
      <c r="C74" s="4">
        <v>187.949997</v>
      </c>
      <c r="D74" s="4">
        <v>183.53999300000001</v>
      </c>
      <c r="E74" s="4">
        <v>183.91999799999999</v>
      </c>
      <c r="F74" s="4">
        <v>181.85998499999999</v>
      </c>
      <c r="G74" s="11">
        <v>13954800</v>
      </c>
      <c r="H74" s="3">
        <f>(AAPL[[#This Row],[Close]]-E73)/E73</f>
        <v>-1.7416364579092614E-2</v>
      </c>
    </row>
    <row r="75" spans="1:8" x14ac:dyDescent="0.25">
      <c r="A75" s="8">
        <v>43286</v>
      </c>
      <c r="B75" s="4">
        <v>185.259995</v>
      </c>
      <c r="C75" s="4">
        <v>186.41000399999999</v>
      </c>
      <c r="D75" s="4">
        <v>184.279999</v>
      </c>
      <c r="E75" s="4">
        <v>185.39999399999999</v>
      </c>
      <c r="F75" s="4">
        <v>183.32341</v>
      </c>
      <c r="G75" s="11">
        <v>16604200</v>
      </c>
      <c r="H75" s="3">
        <f>(AAPL[[#This Row],[Close]]-E74)/E74</f>
        <v>8.0469552854170855E-3</v>
      </c>
    </row>
    <row r="76" spans="1:8" x14ac:dyDescent="0.25">
      <c r="A76" s="8">
        <v>43287</v>
      </c>
      <c r="B76" s="4">
        <v>185.41999799999999</v>
      </c>
      <c r="C76" s="4">
        <v>188.429993</v>
      </c>
      <c r="D76" s="4">
        <v>185.199997</v>
      </c>
      <c r="E76" s="4">
        <v>187.970001</v>
      </c>
      <c r="F76" s="4">
        <v>185.864655</v>
      </c>
      <c r="G76" s="11">
        <v>17485200</v>
      </c>
      <c r="H76" s="3">
        <f>(AAPL[[#This Row],[Close]]-E75)/E75</f>
        <v>1.3861958377409679E-2</v>
      </c>
    </row>
    <row r="77" spans="1:8" x14ac:dyDescent="0.25">
      <c r="A77" s="8">
        <v>43290</v>
      </c>
      <c r="B77" s="4">
        <v>189.5</v>
      </c>
      <c r="C77" s="4">
        <v>190.679993</v>
      </c>
      <c r="D77" s="4">
        <v>189.300003</v>
      </c>
      <c r="E77" s="4">
        <v>190.58000200000001</v>
      </c>
      <c r="F77" s="4">
        <v>188.445404</v>
      </c>
      <c r="G77" s="11">
        <v>19756600</v>
      </c>
      <c r="H77" s="3">
        <f>(AAPL[[#This Row],[Close]]-E76)/E76</f>
        <v>1.3885199692050921E-2</v>
      </c>
    </row>
    <row r="78" spans="1:8" x14ac:dyDescent="0.25">
      <c r="A78" s="8">
        <v>43291</v>
      </c>
      <c r="B78" s="4">
        <v>190.71000699999999</v>
      </c>
      <c r="C78" s="4">
        <v>191.279999</v>
      </c>
      <c r="D78" s="4">
        <v>190.179993</v>
      </c>
      <c r="E78" s="4">
        <v>190.35000600000001</v>
      </c>
      <c r="F78" s="4">
        <v>188.217972</v>
      </c>
      <c r="G78" s="11">
        <v>15939100</v>
      </c>
      <c r="H78" s="3">
        <f>(AAPL[[#This Row],[Close]]-E77)/E77</f>
        <v>-1.2068212697363696E-3</v>
      </c>
    </row>
    <row r="79" spans="1:8" x14ac:dyDescent="0.25">
      <c r="A79" s="8">
        <v>43292</v>
      </c>
      <c r="B79" s="4">
        <v>188.5</v>
      </c>
      <c r="C79" s="4">
        <v>189.779999</v>
      </c>
      <c r="D79" s="4">
        <v>187.61000100000001</v>
      </c>
      <c r="E79" s="4">
        <v>187.88000500000001</v>
      </c>
      <c r="F79" s="4">
        <v>185.77565000000001</v>
      </c>
      <c r="G79" s="11">
        <v>18831500</v>
      </c>
      <c r="H79" s="3">
        <f>(AAPL[[#This Row],[Close]]-E78)/E78</f>
        <v>-1.2976101508502166E-2</v>
      </c>
    </row>
    <row r="80" spans="1:8" x14ac:dyDescent="0.25">
      <c r="A80" s="8">
        <v>43293</v>
      </c>
      <c r="B80" s="4">
        <v>189.529999</v>
      </c>
      <c r="C80" s="4">
        <v>191.41000399999999</v>
      </c>
      <c r="D80" s="4">
        <v>189.30999800000001</v>
      </c>
      <c r="E80" s="4">
        <v>191.029999</v>
      </c>
      <c r="F80" s="4">
        <v>188.890366</v>
      </c>
      <c r="G80" s="11">
        <v>18041100</v>
      </c>
      <c r="H80" s="3">
        <f>(AAPL[[#This Row],[Close]]-E79)/E79</f>
        <v>1.6765988482914891E-2</v>
      </c>
    </row>
    <row r="81" spans="1:8" x14ac:dyDescent="0.25">
      <c r="A81" s="8">
        <v>43294</v>
      </c>
      <c r="B81" s="4">
        <v>191.08000200000001</v>
      </c>
      <c r="C81" s="4">
        <v>191.83999600000001</v>
      </c>
      <c r="D81" s="4">
        <v>190.89999399999999</v>
      </c>
      <c r="E81" s="4">
        <v>191.33000200000001</v>
      </c>
      <c r="F81" s="4">
        <v>189.18701200000001</v>
      </c>
      <c r="G81" s="11">
        <v>12513900</v>
      </c>
      <c r="H81" s="3">
        <f>(AAPL[[#This Row],[Close]]-E80)/E80</f>
        <v>1.5704496758124559E-3</v>
      </c>
    </row>
    <row r="82" spans="1:8" x14ac:dyDescent="0.25">
      <c r="A82" s="8">
        <v>43297</v>
      </c>
      <c r="B82" s="4">
        <v>191.520004</v>
      </c>
      <c r="C82" s="4">
        <v>192.64999399999999</v>
      </c>
      <c r="D82" s="4">
        <v>190.41999799999999</v>
      </c>
      <c r="E82" s="4">
        <v>190.91000399999999</v>
      </c>
      <c r="F82" s="4">
        <v>188.77171300000001</v>
      </c>
      <c r="G82" s="11">
        <v>15043100</v>
      </c>
      <c r="H82" s="3">
        <f>(AAPL[[#This Row],[Close]]-E81)/E81</f>
        <v>-2.1951497183385852E-3</v>
      </c>
    </row>
    <row r="83" spans="1:8" x14ac:dyDescent="0.25">
      <c r="A83" s="8">
        <v>43298</v>
      </c>
      <c r="B83" s="4">
        <v>189.75</v>
      </c>
      <c r="C83" s="4">
        <v>191.86999499999999</v>
      </c>
      <c r="D83" s="4">
        <v>189.199997</v>
      </c>
      <c r="E83" s="4">
        <v>191.449997</v>
      </c>
      <c r="F83" s="4">
        <v>189.30566400000001</v>
      </c>
      <c r="G83" s="11">
        <v>15534500</v>
      </c>
      <c r="H83" s="3">
        <f>(AAPL[[#This Row],[Close]]-E82)/E82</f>
        <v>2.8285212334918275E-3</v>
      </c>
    </row>
    <row r="84" spans="1:8" x14ac:dyDescent="0.25">
      <c r="A84" s="8">
        <v>43299</v>
      </c>
      <c r="B84" s="4">
        <v>191.779999</v>
      </c>
      <c r="C84" s="4">
        <v>191.800003</v>
      </c>
      <c r="D84" s="4">
        <v>189.929993</v>
      </c>
      <c r="E84" s="4">
        <v>190.39999399999999</v>
      </c>
      <c r="F84" s="4">
        <v>188.26741000000001</v>
      </c>
      <c r="G84" s="11">
        <v>16393400</v>
      </c>
      <c r="H84" s="3">
        <f>(AAPL[[#This Row],[Close]]-E83)/E83</f>
        <v>-5.4844764505272035E-3</v>
      </c>
    </row>
    <row r="85" spans="1:8" x14ac:dyDescent="0.25">
      <c r="A85" s="8">
        <v>43300</v>
      </c>
      <c r="B85" s="4">
        <v>189.69000199999999</v>
      </c>
      <c r="C85" s="4">
        <v>192.550003</v>
      </c>
      <c r="D85" s="4">
        <v>189.69000199999999</v>
      </c>
      <c r="E85" s="4">
        <v>191.88000500000001</v>
      </c>
      <c r="F85" s="4">
        <v>189.73085</v>
      </c>
      <c r="G85" s="11">
        <v>20286800</v>
      </c>
      <c r="H85" s="3">
        <f>(AAPL[[#This Row],[Close]]-E84)/E84</f>
        <v>7.7731672617595716E-3</v>
      </c>
    </row>
    <row r="86" spans="1:8" x14ac:dyDescent="0.25">
      <c r="A86" s="8">
        <v>43301</v>
      </c>
      <c r="B86" s="4">
        <v>191.779999</v>
      </c>
      <c r="C86" s="4">
        <v>192.429993</v>
      </c>
      <c r="D86" s="4">
        <v>190.16999799999999</v>
      </c>
      <c r="E86" s="4">
        <v>191.44000199999999</v>
      </c>
      <c r="F86" s="4">
        <v>189.29577599999999</v>
      </c>
      <c r="G86" s="11">
        <v>20676200</v>
      </c>
      <c r="H86" s="3">
        <f>(AAPL[[#This Row],[Close]]-E85)/E85</f>
        <v>-2.2931154290933989E-3</v>
      </c>
    </row>
    <row r="87" spans="1:8" x14ac:dyDescent="0.25">
      <c r="A87" s="8">
        <v>43304</v>
      </c>
      <c r="B87" s="4">
        <v>190.679993</v>
      </c>
      <c r="C87" s="4">
        <v>191.96000699999999</v>
      </c>
      <c r="D87" s="4">
        <v>189.55999800000001</v>
      </c>
      <c r="E87" s="4">
        <v>191.61000100000001</v>
      </c>
      <c r="F87" s="4">
        <v>189.46386699999999</v>
      </c>
      <c r="G87" s="11">
        <v>15989400</v>
      </c>
      <c r="H87" s="3">
        <f>(AAPL[[#This Row],[Close]]-E86)/E86</f>
        <v>8.8800145332227091E-4</v>
      </c>
    </row>
    <row r="88" spans="1:8" x14ac:dyDescent="0.25">
      <c r="A88" s="8">
        <v>43305</v>
      </c>
      <c r="B88" s="4">
        <v>192.449997</v>
      </c>
      <c r="C88" s="4">
        <v>193.66000399999999</v>
      </c>
      <c r="D88" s="4">
        <v>192.050003</v>
      </c>
      <c r="E88" s="4">
        <v>193</v>
      </c>
      <c r="F88" s="4">
        <v>190.838303</v>
      </c>
      <c r="G88" s="11">
        <v>18697900</v>
      </c>
      <c r="H88" s="3">
        <f>(AAPL[[#This Row],[Close]]-E87)/E87</f>
        <v>7.2543134113338308E-3</v>
      </c>
    </row>
    <row r="89" spans="1:8" x14ac:dyDescent="0.25">
      <c r="A89" s="8">
        <v>43306</v>
      </c>
      <c r="B89" s="4">
        <v>193.05999800000001</v>
      </c>
      <c r="C89" s="4">
        <v>194.85000600000001</v>
      </c>
      <c r="D89" s="4">
        <v>192.429993</v>
      </c>
      <c r="E89" s="4">
        <v>194.820007</v>
      </c>
      <c r="F89" s="4">
        <v>192.637924</v>
      </c>
      <c r="G89" s="11">
        <v>16709900</v>
      </c>
      <c r="H89" s="3">
        <f>(AAPL[[#This Row],[Close]]-E88)/E88</f>
        <v>9.4300880829015742E-3</v>
      </c>
    </row>
    <row r="90" spans="1:8" x14ac:dyDescent="0.25">
      <c r="A90" s="8">
        <v>43307</v>
      </c>
      <c r="B90" s="4">
        <v>194.61000100000001</v>
      </c>
      <c r="C90" s="4">
        <v>195.96000699999999</v>
      </c>
      <c r="D90" s="4">
        <v>193.61000100000001</v>
      </c>
      <c r="E90" s="4">
        <v>194.21000699999999</v>
      </c>
      <c r="F90" s="4">
        <v>192.03476000000001</v>
      </c>
      <c r="G90" s="11">
        <v>19076000</v>
      </c>
      <c r="H90" s="3">
        <f>(AAPL[[#This Row],[Close]]-E89)/E89</f>
        <v>-3.1310952575831375E-3</v>
      </c>
    </row>
    <row r="91" spans="1:8" x14ac:dyDescent="0.25">
      <c r="A91" s="8">
        <v>43308</v>
      </c>
      <c r="B91" s="4">
        <v>194.990005</v>
      </c>
      <c r="C91" s="4">
        <v>195.19000199999999</v>
      </c>
      <c r="D91" s="4">
        <v>190.10000600000001</v>
      </c>
      <c r="E91" s="4">
        <v>190.979996</v>
      </c>
      <c r="F91" s="4">
        <v>188.840912</v>
      </c>
      <c r="G91" s="11">
        <v>24024000</v>
      </c>
      <c r="H91" s="3">
        <f>(AAPL[[#This Row],[Close]]-E90)/E90</f>
        <v>-1.6631537426390137E-2</v>
      </c>
    </row>
    <row r="92" spans="1:8" x14ac:dyDescent="0.25">
      <c r="A92" s="8">
        <v>43311</v>
      </c>
      <c r="B92" s="4">
        <v>191.89999399999999</v>
      </c>
      <c r="C92" s="4">
        <v>192.199997</v>
      </c>
      <c r="D92" s="4">
        <v>189.070007</v>
      </c>
      <c r="E92" s="4">
        <v>189.91000399999999</v>
      </c>
      <c r="F92" s="4">
        <v>187.78291300000001</v>
      </c>
      <c r="G92" s="11">
        <v>21029500</v>
      </c>
      <c r="H92" s="3">
        <f>(AAPL[[#This Row],[Close]]-E91)/E91</f>
        <v>-5.6026391371377625E-3</v>
      </c>
    </row>
    <row r="93" spans="1:8" x14ac:dyDescent="0.25">
      <c r="A93" s="8">
        <v>43312</v>
      </c>
      <c r="B93" s="4">
        <v>190.300003</v>
      </c>
      <c r="C93" s="4">
        <v>192.13999899999999</v>
      </c>
      <c r="D93" s="4">
        <v>189.33999600000001</v>
      </c>
      <c r="E93" s="4">
        <v>190.28999300000001</v>
      </c>
      <c r="F93" s="4">
        <v>188.158646</v>
      </c>
      <c r="G93" s="11">
        <v>39373000</v>
      </c>
      <c r="H93" s="3">
        <f>(AAPL[[#This Row],[Close]]-E92)/E92</f>
        <v>2.0008898530696848E-3</v>
      </c>
    </row>
    <row r="94" spans="1:8" x14ac:dyDescent="0.25">
      <c r="A94" s="8">
        <v>43313</v>
      </c>
      <c r="B94" s="4">
        <v>199.13000500000001</v>
      </c>
      <c r="C94" s="4">
        <v>201.759995</v>
      </c>
      <c r="D94" s="4">
        <v>197.30999800000001</v>
      </c>
      <c r="E94" s="4">
        <v>201.5</v>
      </c>
      <c r="F94" s="4">
        <v>199.243088</v>
      </c>
      <c r="G94" s="11">
        <v>67935700</v>
      </c>
      <c r="H94" s="3">
        <f>(AAPL[[#This Row],[Close]]-E93)/E93</f>
        <v>5.8910123560727598E-2</v>
      </c>
    </row>
    <row r="95" spans="1:8" x14ac:dyDescent="0.25">
      <c r="A95" s="8">
        <v>43314</v>
      </c>
      <c r="B95" s="4">
        <v>200.58000200000001</v>
      </c>
      <c r="C95" s="4">
        <v>208.38000500000001</v>
      </c>
      <c r="D95" s="4">
        <v>200.35000600000001</v>
      </c>
      <c r="E95" s="4">
        <v>207.38999899999999</v>
      </c>
      <c r="F95" s="4">
        <v>205.06712300000001</v>
      </c>
      <c r="G95" s="11">
        <v>62404000</v>
      </c>
      <c r="H95" s="3">
        <f>(AAPL[[#This Row],[Close]]-E94)/E94</f>
        <v>2.9230764267990018E-2</v>
      </c>
    </row>
    <row r="96" spans="1:8" x14ac:dyDescent="0.25">
      <c r="A96" s="8">
        <v>43315</v>
      </c>
      <c r="B96" s="4">
        <v>207.029999</v>
      </c>
      <c r="C96" s="4">
        <v>208.740005</v>
      </c>
      <c r="D96" s="4">
        <v>205.479996</v>
      </c>
      <c r="E96" s="4">
        <v>207.990005</v>
      </c>
      <c r="F96" s="4">
        <v>205.660416</v>
      </c>
      <c r="G96" s="11">
        <v>33447400</v>
      </c>
      <c r="H96" s="3">
        <f>(AAPL[[#This Row],[Close]]-E95)/E95</f>
        <v>2.8931289015532886E-3</v>
      </c>
    </row>
    <row r="97" spans="1:8" x14ac:dyDescent="0.25">
      <c r="A97" s="8">
        <v>43318</v>
      </c>
      <c r="B97" s="4">
        <v>208</v>
      </c>
      <c r="C97" s="4">
        <v>209.25</v>
      </c>
      <c r="D97" s="4">
        <v>207.070007</v>
      </c>
      <c r="E97" s="4">
        <v>209.070007</v>
      </c>
      <c r="F97" s="4">
        <v>206.728317</v>
      </c>
      <c r="G97" s="11">
        <v>25425400</v>
      </c>
      <c r="H97" s="3">
        <f>(AAPL[[#This Row],[Close]]-E96)/E96</f>
        <v>5.1925668255068677E-3</v>
      </c>
    </row>
    <row r="98" spans="1:8" x14ac:dyDescent="0.25">
      <c r="A98" s="8">
        <v>43319</v>
      </c>
      <c r="B98" s="4">
        <v>209.320007</v>
      </c>
      <c r="C98" s="4">
        <v>209.5</v>
      </c>
      <c r="D98" s="4">
        <v>206.759995</v>
      </c>
      <c r="E98" s="4">
        <v>207.11000100000001</v>
      </c>
      <c r="F98" s="4">
        <v>204.790268</v>
      </c>
      <c r="G98" s="11">
        <v>25587400</v>
      </c>
      <c r="H98" s="3">
        <f>(AAPL[[#This Row],[Close]]-E97)/E97</f>
        <v>-9.3748789131670746E-3</v>
      </c>
    </row>
    <row r="99" spans="1:8" x14ac:dyDescent="0.25">
      <c r="A99" s="8">
        <v>43320</v>
      </c>
      <c r="B99" s="4">
        <v>206.050003</v>
      </c>
      <c r="C99" s="4">
        <v>207.80999800000001</v>
      </c>
      <c r="D99" s="4">
        <v>204.520004</v>
      </c>
      <c r="E99" s="4">
        <v>207.25</v>
      </c>
      <c r="F99" s="4">
        <v>204.928696</v>
      </c>
      <c r="G99" s="11">
        <v>22525500</v>
      </c>
      <c r="H99" s="3">
        <f>(AAPL[[#This Row],[Close]]-E98)/E98</f>
        <v>6.7596446006481777E-4</v>
      </c>
    </row>
    <row r="100" spans="1:8" x14ac:dyDescent="0.25">
      <c r="A100" s="8">
        <v>43321</v>
      </c>
      <c r="B100" s="4">
        <v>207.279999</v>
      </c>
      <c r="C100" s="4">
        <v>209.779999</v>
      </c>
      <c r="D100" s="4">
        <v>207.199997</v>
      </c>
      <c r="E100" s="4">
        <v>208.88000500000001</v>
      </c>
      <c r="F100" s="4">
        <v>206.540436</v>
      </c>
      <c r="G100" s="11">
        <v>23469200</v>
      </c>
      <c r="H100" s="3">
        <f>(AAPL[[#This Row],[Close]]-E99)/E99</f>
        <v>7.8649215922799096E-3</v>
      </c>
    </row>
    <row r="101" spans="1:8" x14ac:dyDescent="0.25">
      <c r="A101" s="8">
        <v>43322</v>
      </c>
      <c r="B101" s="4">
        <v>207.36000100000001</v>
      </c>
      <c r="C101" s="4">
        <v>209.10000600000001</v>
      </c>
      <c r="D101" s="4">
        <v>206.66999799999999</v>
      </c>
      <c r="E101" s="4">
        <v>207.529999</v>
      </c>
      <c r="F101" s="4">
        <v>205.92523199999999</v>
      </c>
      <c r="G101" s="11">
        <v>24611200</v>
      </c>
      <c r="H101" s="3">
        <f>(AAPL[[#This Row],[Close]]-E100)/E100</f>
        <v>-6.4630695503861534E-3</v>
      </c>
    </row>
    <row r="102" spans="1:8" x14ac:dyDescent="0.25">
      <c r="A102" s="8">
        <v>43325</v>
      </c>
      <c r="B102" s="4">
        <v>207.699997</v>
      </c>
      <c r="C102" s="4">
        <v>210.949997</v>
      </c>
      <c r="D102" s="4">
        <v>207.699997</v>
      </c>
      <c r="E102" s="4">
        <v>208.86999499999999</v>
      </c>
      <c r="F102" s="4">
        <v>207.25488300000001</v>
      </c>
      <c r="G102" s="11">
        <v>25869100</v>
      </c>
      <c r="H102" s="3">
        <f>(AAPL[[#This Row],[Close]]-E101)/E101</f>
        <v>6.4568785546998677E-3</v>
      </c>
    </row>
    <row r="103" spans="1:8" x14ac:dyDescent="0.25">
      <c r="A103" s="8">
        <v>43326</v>
      </c>
      <c r="B103" s="4">
        <v>210.16000399999999</v>
      </c>
      <c r="C103" s="4">
        <v>210.55999800000001</v>
      </c>
      <c r="D103" s="4">
        <v>208.259995</v>
      </c>
      <c r="E103" s="4">
        <v>209.75</v>
      </c>
      <c r="F103" s="4">
        <v>208.12806699999999</v>
      </c>
      <c r="G103" s="11">
        <v>20748000</v>
      </c>
      <c r="H103" s="3">
        <f>(AAPL[[#This Row],[Close]]-E102)/E102</f>
        <v>4.2131709726905067E-3</v>
      </c>
    </row>
    <row r="104" spans="1:8" x14ac:dyDescent="0.25">
      <c r="A104" s="8">
        <v>43327</v>
      </c>
      <c r="B104" s="4">
        <v>209.220001</v>
      </c>
      <c r="C104" s="4">
        <v>210.740005</v>
      </c>
      <c r="D104" s="4">
        <v>208.33000200000001</v>
      </c>
      <c r="E104" s="4">
        <v>210.240005</v>
      </c>
      <c r="F104" s="4">
        <v>208.614273</v>
      </c>
      <c r="G104" s="11">
        <v>28807600</v>
      </c>
      <c r="H104" s="3">
        <f>(AAPL[[#This Row],[Close]]-E103)/E103</f>
        <v>2.3361382598331179E-3</v>
      </c>
    </row>
    <row r="105" spans="1:8" x14ac:dyDescent="0.25">
      <c r="A105" s="8">
        <v>43328</v>
      </c>
      <c r="B105" s="4">
        <v>211.75</v>
      </c>
      <c r="C105" s="4">
        <v>213.80999800000001</v>
      </c>
      <c r="D105" s="4">
        <v>211.470001</v>
      </c>
      <c r="E105" s="4">
        <v>213.320007</v>
      </c>
      <c r="F105" s="4">
        <v>211.67047099999999</v>
      </c>
      <c r="G105" s="11">
        <v>28500400</v>
      </c>
      <c r="H105" s="3">
        <f>(AAPL[[#This Row],[Close]]-E104)/E104</f>
        <v>1.4649933061027123E-2</v>
      </c>
    </row>
    <row r="106" spans="1:8" x14ac:dyDescent="0.25">
      <c r="A106" s="8">
        <v>43329</v>
      </c>
      <c r="B106" s="4">
        <v>213.44000199999999</v>
      </c>
      <c r="C106" s="4">
        <v>217.949997</v>
      </c>
      <c r="D106" s="4">
        <v>213.16000399999999</v>
      </c>
      <c r="E106" s="4">
        <v>217.58000200000001</v>
      </c>
      <c r="F106" s="4">
        <v>215.89752200000001</v>
      </c>
      <c r="G106" s="11">
        <v>35427000</v>
      </c>
      <c r="H106" s="3">
        <f>(AAPL[[#This Row],[Close]]-E105)/E105</f>
        <v>1.9969974030612157E-2</v>
      </c>
    </row>
    <row r="107" spans="1:8" x14ac:dyDescent="0.25">
      <c r="A107" s="8">
        <v>43332</v>
      </c>
      <c r="B107" s="4">
        <v>218.10000600000001</v>
      </c>
      <c r="C107" s="4">
        <v>219.179993</v>
      </c>
      <c r="D107" s="4">
        <v>215.11000100000001</v>
      </c>
      <c r="E107" s="4">
        <v>215.46000699999999</v>
      </c>
      <c r="F107" s="4">
        <v>213.79392999999999</v>
      </c>
      <c r="G107" s="11">
        <v>30287700</v>
      </c>
      <c r="H107" s="3">
        <f>(AAPL[[#This Row],[Close]]-E106)/E106</f>
        <v>-9.7435195354029693E-3</v>
      </c>
    </row>
    <row r="108" spans="1:8" x14ac:dyDescent="0.25">
      <c r="A108" s="8">
        <v>43333</v>
      </c>
      <c r="B108" s="4">
        <v>216.800003</v>
      </c>
      <c r="C108" s="4">
        <v>217.19000199999999</v>
      </c>
      <c r="D108" s="4">
        <v>214.029999</v>
      </c>
      <c r="E108" s="4">
        <v>215.03999300000001</v>
      </c>
      <c r="F108" s="4">
        <v>213.37716699999999</v>
      </c>
      <c r="G108" s="11">
        <v>26159800</v>
      </c>
      <c r="H108" s="3">
        <f>(AAPL[[#This Row],[Close]]-E107)/E107</f>
        <v>-1.9493826527165229E-3</v>
      </c>
    </row>
    <row r="109" spans="1:8" x14ac:dyDescent="0.25">
      <c r="A109" s="8">
        <v>43334</v>
      </c>
      <c r="B109" s="4">
        <v>214.10000600000001</v>
      </c>
      <c r="C109" s="4">
        <v>216.36000100000001</v>
      </c>
      <c r="D109" s="4">
        <v>213.83999600000001</v>
      </c>
      <c r="E109" s="4">
        <v>215.050003</v>
      </c>
      <c r="F109" s="4">
        <v>213.38708500000001</v>
      </c>
      <c r="G109" s="11">
        <v>19018100</v>
      </c>
      <c r="H109" s="3">
        <f>(AAPL[[#This Row],[Close]]-E108)/E108</f>
        <v>4.6549480681921707E-5</v>
      </c>
    </row>
    <row r="110" spans="1:8" x14ac:dyDescent="0.25">
      <c r="A110" s="8">
        <v>43335</v>
      </c>
      <c r="B110" s="4">
        <v>214.64999399999999</v>
      </c>
      <c r="C110" s="4">
        <v>217.050003</v>
      </c>
      <c r="D110" s="4">
        <v>214.60000600000001</v>
      </c>
      <c r="E110" s="4">
        <v>215.490005</v>
      </c>
      <c r="F110" s="4">
        <v>213.82368500000001</v>
      </c>
      <c r="G110" s="11">
        <v>18883200</v>
      </c>
      <c r="H110" s="3">
        <f>(AAPL[[#This Row],[Close]]-E109)/E109</f>
        <v>2.046045077246489E-3</v>
      </c>
    </row>
    <row r="111" spans="1:8" x14ac:dyDescent="0.25">
      <c r="A111" s="8">
        <v>43336</v>
      </c>
      <c r="B111" s="4">
        <v>216.60000600000001</v>
      </c>
      <c r="C111" s="4">
        <v>216.89999399999999</v>
      </c>
      <c r="D111" s="4">
        <v>215.11000100000001</v>
      </c>
      <c r="E111" s="4">
        <v>216.16000399999999</v>
      </c>
      <c r="F111" s="4">
        <v>214.488495</v>
      </c>
      <c r="G111" s="11">
        <v>18476400</v>
      </c>
      <c r="H111" s="3">
        <f>(AAPL[[#This Row],[Close]]-E110)/E110</f>
        <v>3.1091882892665488E-3</v>
      </c>
    </row>
    <row r="112" spans="1:8" x14ac:dyDescent="0.25">
      <c r="A112" s="8">
        <v>43339</v>
      </c>
      <c r="B112" s="4">
        <v>217.14999399999999</v>
      </c>
      <c r="C112" s="4">
        <v>218.740005</v>
      </c>
      <c r="D112" s="4">
        <v>216.33000200000001</v>
      </c>
      <c r="E112" s="4">
        <v>217.94000199999999</v>
      </c>
      <c r="F112" s="4">
        <v>216.25474500000001</v>
      </c>
      <c r="G112" s="11">
        <v>20525100</v>
      </c>
      <c r="H112" s="3">
        <f>(AAPL[[#This Row],[Close]]-E111)/E111</f>
        <v>8.2346316018758314E-3</v>
      </c>
    </row>
    <row r="113" spans="1:8" x14ac:dyDescent="0.25">
      <c r="A113" s="8">
        <v>43340</v>
      </c>
      <c r="B113" s="4">
        <v>219.009995</v>
      </c>
      <c r="C113" s="4">
        <v>220.53999300000001</v>
      </c>
      <c r="D113" s="4">
        <v>218.91999799999999</v>
      </c>
      <c r="E113" s="4">
        <v>219.699997</v>
      </c>
      <c r="F113" s="4">
        <v>218.00112899999999</v>
      </c>
      <c r="G113" s="11">
        <v>22776800</v>
      </c>
      <c r="H113" s="3">
        <f>(AAPL[[#This Row],[Close]]-E112)/E112</f>
        <v>8.0755941261301985E-3</v>
      </c>
    </row>
    <row r="114" spans="1:8" x14ac:dyDescent="0.25">
      <c r="A114" s="8">
        <v>43341</v>
      </c>
      <c r="B114" s="4">
        <v>220.14999399999999</v>
      </c>
      <c r="C114" s="4">
        <v>223.490005</v>
      </c>
      <c r="D114" s="4">
        <v>219.41000399999999</v>
      </c>
      <c r="E114" s="4">
        <v>222.979996</v>
      </c>
      <c r="F114" s="4">
        <v>221.255753</v>
      </c>
      <c r="G114" s="11">
        <v>27254800</v>
      </c>
      <c r="H114" s="3">
        <f>(AAPL[[#This Row],[Close]]-E113)/E113</f>
        <v>1.4929444901175868E-2</v>
      </c>
    </row>
    <row r="115" spans="1:8" x14ac:dyDescent="0.25">
      <c r="A115" s="8">
        <v>43342</v>
      </c>
      <c r="B115" s="4">
        <v>223.25</v>
      </c>
      <c r="C115" s="4">
        <v>228.259995</v>
      </c>
      <c r="D115" s="4">
        <v>222.39999399999999</v>
      </c>
      <c r="E115" s="4">
        <v>225.029999</v>
      </c>
      <c r="F115" s="4">
        <v>223.289917</v>
      </c>
      <c r="G115" s="11">
        <v>48793800</v>
      </c>
      <c r="H115" s="3">
        <f>(AAPL[[#This Row],[Close]]-E114)/E114</f>
        <v>9.1936632737225615E-3</v>
      </c>
    </row>
    <row r="116" spans="1:8" x14ac:dyDescent="0.25">
      <c r="A116" s="8">
        <v>43343</v>
      </c>
      <c r="B116" s="4">
        <v>226.509995</v>
      </c>
      <c r="C116" s="4">
        <v>228.86999499999999</v>
      </c>
      <c r="D116" s="4">
        <v>226</v>
      </c>
      <c r="E116" s="4">
        <v>227.63000500000001</v>
      </c>
      <c r="F116" s="4">
        <v>225.869812</v>
      </c>
      <c r="G116" s="11">
        <v>43340100</v>
      </c>
      <c r="H116" s="3">
        <f>(AAPL[[#This Row],[Close]]-E115)/E115</f>
        <v>1.1554041734675596E-2</v>
      </c>
    </row>
    <row r="117" spans="1:8" x14ac:dyDescent="0.25">
      <c r="A117" s="8">
        <v>43347</v>
      </c>
      <c r="B117" s="4">
        <v>228.41000399999999</v>
      </c>
      <c r="C117" s="4">
        <v>229.179993</v>
      </c>
      <c r="D117" s="4">
        <v>226.63000500000001</v>
      </c>
      <c r="E117" s="4">
        <v>228.36000100000001</v>
      </c>
      <c r="F117" s="4">
        <v>226.59416200000001</v>
      </c>
      <c r="G117" s="11">
        <v>27390100</v>
      </c>
      <c r="H117" s="3">
        <f>(AAPL[[#This Row],[Close]]-E116)/E116</f>
        <v>3.2069410181667386E-3</v>
      </c>
    </row>
    <row r="118" spans="1:8" x14ac:dyDescent="0.25">
      <c r="A118" s="8">
        <v>43348</v>
      </c>
      <c r="B118" s="4">
        <v>228.990005</v>
      </c>
      <c r="C118" s="4">
        <v>229.66999799999999</v>
      </c>
      <c r="D118" s="4">
        <v>225.10000600000001</v>
      </c>
      <c r="E118" s="4">
        <v>226.86999499999999</v>
      </c>
      <c r="F118" s="4">
        <v>225.11567700000001</v>
      </c>
      <c r="G118" s="11">
        <v>33333000</v>
      </c>
      <c r="H118" s="3">
        <f>(AAPL[[#This Row],[Close]]-E117)/E117</f>
        <v>-6.5248116722508784E-3</v>
      </c>
    </row>
    <row r="119" spans="1:8" x14ac:dyDescent="0.25">
      <c r="A119" s="8">
        <v>43349</v>
      </c>
      <c r="B119" s="4">
        <v>226.229996</v>
      </c>
      <c r="C119" s="4">
        <v>227.35000600000001</v>
      </c>
      <c r="D119" s="4">
        <v>221.300003</v>
      </c>
      <c r="E119" s="4">
        <v>223.10000600000001</v>
      </c>
      <c r="F119" s="4">
        <v>221.37484699999999</v>
      </c>
      <c r="G119" s="11">
        <v>34290000</v>
      </c>
      <c r="H119" s="3">
        <f>(AAPL[[#This Row],[Close]]-E118)/E118</f>
        <v>-1.6617397994829513E-2</v>
      </c>
    </row>
    <row r="120" spans="1:8" x14ac:dyDescent="0.25">
      <c r="A120" s="8">
        <v>43350</v>
      </c>
      <c r="B120" s="4">
        <v>221.85000600000001</v>
      </c>
      <c r="C120" s="4">
        <v>225.36999499999999</v>
      </c>
      <c r="D120" s="4">
        <v>220.71000699999999</v>
      </c>
      <c r="E120" s="4">
        <v>221.300003</v>
      </c>
      <c r="F120" s="4">
        <v>219.58876000000001</v>
      </c>
      <c r="G120" s="11">
        <v>37619800</v>
      </c>
      <c r="H120" s="3">
        <f>(AAPL[[#This Row],[Close]]-E119)/E119</f>
        <v>-8.0681441129141149E-3</v>
      </c>
    </row>
    <row r="121" spans="1:8" x14ac:dyDescent="0.25">
      <c r="A121" s="8">
        <v>43353</v>
      </c>
      <c r="B121" s="4">
        <v>220.949997</v>
      </c>
      <c r="C121" s="4">
        <v>221.85000600000001</v>
      </c>
      <c r="D121" s="4">
        <v>216.470001</v>
      </c>
      <c r="E121" s="4">
        <v>218.33000200000001</v>
      </c>
      <c r="F121" s="4">
        <v>216.64172400000001</v>
      </c>
      <c r="G121" s="11">
        <v>39516500</v>
      </c>
      <c r="H121" s="3">
        <f>(AAPL[[#This Row],[Close]]-E120)/E120</f>
        <v>-1.3420700224753257E-2</v>
      </c>
    </row>
    <row r="122" spans="1:8" x14ac:dyDescent="0.25">
      <c r="A122" s="8">
        <v>43354</v>
      </c>
      <c r="B122" s="4">
        <v>218.009995</v>
      </c>
      <c r="C122" s="4">
        <v>224.300003</v>
      </c>
      <c r="D122" s="4">
        <v>216.55999800000001</v>
      </c>
      <c r="E122" s="4">
        <v>223.85000600000001</v>
      </c>
      <c r="F122" s="4">
        <v>222.11904899999999</v>
      </c>
      <c r="G122" s="11">
        <v>35749000</v>
      </c>
      <c r="H122" s="3">
        <f>(AAPL[[#This Row],[Close]]-E121)/E121</f>
        <v>2.5282846834765293E-2</v>
      </c>
    </row>
    <row r="123" spans="1:8" x14ac:dyDescent="0.25">
      <c r="A123" s="8">
        <v>43355</v>
      </c>
      <c r="B123" s="4">
        <v>224.94000199999999</v>
      </c>
      <c r="C123" s="4">
        <v>225</v>
      </c>
      <c r="D123" s="4">
        <v>219.83999600000001</v>
      </c>
      <c r="E123" s="4">
        <v>221.070007</v>
      </c>
      <c r="F123" s="4">
        <v>219.36054999999999</v>
      </c>
      <c r="G123" s="11">
        <v>49278700</v>
      </c>
      <c r="H123" s="3">
        <f>(AAPL[[#This Row],[Close]]-E122)/E122</f>
        <v>-1.241902580069622E-2</v>
      </c>
    </row>
    <row r="124" spans="1:8" x14ac:dyDescent="0.25">
      <c r="A124" s="8">
        <v>43356</v>
      </c>
      <c r="B124" s="4">
        <v>223.520004</v>
      </c>
      <c r="C124" s="4">
        <v>228.35000600000001</v>
      </c>
      <c r="D124" s="4">
        <v>222.570007</v>
      </c>
      <c r="E124" s="4">
        <v>226.41000399999999</v>
      </c>
      <c r="F124" s="4">
        <v>224.659256</v>
      </c>
      <c r="G124" s="11">
        <v>41706400</v>
      </c>
      <c r="H124" s="3">
        <f>(AAPL[[#This Row],[Close]]-E123)/E123</f>
        <v>2.4155230609822085E-2</v>
      </c>
    </row>
    <row r="125" spans="1:8" x14ac:dyDescent="0.25">
      <c r="A125" s="8">
        <v>43357</v>
      </c>
      <c r="B125" s="4">
        <v>225.75</v>
      </c>
      <c r="C125" s="4">
        <v>226.83999600000001</v>
      </c>
      <c r="D125" s="4">
        <v>222.520004</v>
      </c>
      <c r="E125" s="4">
        <v>223.83999600000001</v>
      </c>
      <c r="F125" s="4">
        <v>222.10910000000001</v>
      </c>
      <c r="G125" s="11">
        <v>31999300</v>
      </c>
      <c r="H125" s="3">
        <f>(AAPL[[#This Row],[Close]]-E124)/E124</f>
        <v>-1.1351123866417021E-2</v>
      </c>
    </row>
    <row r="126" spans="1:8" x14ac:dyDescent="0.25">
      <c r="A126" s="8">
        <v>43360</v>
      </c>
      <c r="B126" s="4">
        <v>222.14999399999999</v>
      </c>
      <c r="C126" s="4">
        <v>222.949997</v>
      </c>
      <c r="D126" s="4">
        <v>217.270004</v>
      </c>
      <c r="E126" s="4">
        <v>217.88000500000001</v>
      </c>
      <c r="F126" s="4">
        <v>216.19520600000001</v>
      </c>
      <c r="G126" s="11">
        <v>37195100</v>
      </c>
      <c r="H126" s="3">
        <f>(AAPL[[#This Row],[Close]]-E125)/E125</f>
        <v>-2.6626121812475381E-2</v>
      </c>
    </row>
    <row r="127" spans="1:8" x14ac:dyDescent="0.25">
      <c r="A127" s="8">
        <v>43361</v>
      </c>
      <c r="B127" s="4">
        <v>217.78999300000001</v>
      </c>
      <c r="C127" s="4">
        <v>221.85000600000001</v>
      </c>
      <c r="D127" s="4">
        <v>217.11999499999999</v>
      </c>
      <c r="E127" s="4">
        <v>218.240005</v>
      </c>
      <c r="F127" s="4">
        <v>216.552414</v>
      </c>
      <c r="G127" s="11">
        <v>31571700</v>
      </c>
      <c r="H127" s="3">
        <f>(AAPL[[#This Row],[Close]]-E126)/E126</f>
        <v>1.6522856239148021E-3</v>
      </c>
    </row>
    <row r="128" spans="1:8" x14ac:dyDescent="0.25">
      <c r="A128" s="8">
        <v>43362</v>
      </c>
      <c r="B128" s="4">
        <v>218.5</v>
      </c>
      <c r="C128" s="4">
        <v>219.61999499999999</v>
      </c>
      <c r="D128" s="4">
        <v>215.300003</v>
      </c>
      <c r="E128" s="4">
        <v>218.36999499999999</v>
      </c>
      <c r="F128" s="4">
        <v>216.68141199999999</v>
      </c>
      <c r="G128" s="11">
        <v>27123800</v>
      </c>
      <c r="H128" s="3">
        <f>(AAPL[[#This Row],[Close]]-E127)/E127</f>
        <v>5.9562865204292991E-4</v>
      </c>
    </row>
    <row r="129" spans="1:8" x14ac:dyDescent="0.25">
      <c r="A129" s="8">
        <v>43363</v>
      </c>
      <c r="B129" s="4">
        <v>220.240005</v>
      </c>
      <c r="C129" s="4">
        <v>222.279999</v>
      </c>
      <c r="D129" s="4">
        <v>219.14999399999999</v>
      </c>
      <c r="E129" s="4">
        <v>220.029999</v>
      </c>
      <c r="F129" s="4">
        <v>218.32858300000001</v>
      </c>
      <c r="G129" s="11">
        <v>26608800</v>
      </c>
      <c r="H129" s="3">
        <f>(AAPL[[#This Row],[Close]]-E128)/E128</f>
        <v>7.6017952924348191E-3</v>
      </c>
    </row>
    <row r="130" spans="1:8" x14ac:dyDescent="0.25">
      <c r="A130" s="8">
        <v>43364</v>
      </c>
      <c r="B130" s="4">
        <v>220.779999</v>
      </c>
      <c r="C130" s="4">
        <v>221.36000100000001</v>
      </c>
      <c r="D130" s="4">
        <v>217.28999300000001</v>
      </c>
      <c r="E130" s="4">
        <v>217.66000399999999</v>
      </c>
      <c r="F130" s="4">
        <v>215.976913</v>
      </c>
      <c r="G130" s="11">
        <v>96246700</v>
      </c>
      <c r="H130" s="3">
        <f>(AAPL[[#This Row],[Close]]-E129)/E129</f>
        <v>-1.0771235789534395E-2</v>
      </c>
    </row>
    <row r="131" spans="1:8" x14ac:dyDescent="0.25">
      <c r="A131" s="8">
        <v>43367</v>
      </c>
      <c r="B131" s="4">
        <v>216.820007</v>
      </c>
      <c r="C131" s="4">
        <v>221.259995</v>
      </c>
      <c r="D131" s="4">
        <v>216.63000500000001</v>
      </c>
      <c r="E131" s="4">
        <v>220.78999300000001</v>
      </c>
      <c r="F131" s="4">
        <v>219.08268699999999</v>
      </c>
      <c r="G131" s="11">
        <v>27693400</v>
      </c>
      <c r="H131" s="3">
        <f>(AAPL[[#This Row],[Close]]-E130)/E130</f>
        <v>1.4380175238809715E-2</v>
      </c>
    </row>
    <row r="132" spans="1:8" x14ac:dyDescent="0.25">
      <c r="A132" s="8">
        <v>43368</v>
      </c>
      <c r="B132" s="4">
        <v>219.75</v>
      </c>
      <c r="C132" s="4">
        <v>222.820007</v>
      </c>
      <c r="D132" s="4">
        <v>219.699997</v>
      </c>
      <c r="E132" s="4">
        <v>222.19000199999999</v>
      </c>
      <c r="F132" s="4">
        <v>220.471878</v>
      </c>
      <c r="G132" s="11">
        <v>24554400</v>
      </c>
      <c r="H132" s="3">
        <f>(AAPL[[#This Row],[Close]]-E131)/E131</f>
        <v>6.3409078508371661E-3</v>
      </c>
    </row>
    <row r="133" spans="1:8" x14ac:dyDescent="0.25">
      <c r="A133" s="8">
        <v>43369</v>
      </c>
      <c r="B133" s="4">
        <v>221</v>
      </c>
      <c r="C133" s="4">
        <v>223.75</v>
      </c>
      <c r="D133" s="4">
        <v>219.759995</v>
      </c>
      <c r="E133" s="4">
        <v>220.41999799999999</v>
      </c>
      <c r="F133" s="4">
        <v>218.71556100000001</v>
      </c>
      <c r="G133" s="11">
        <v>23984700</v>
      </c>
      <c r="H133" s="3">
        <f>(AAPL[[#This Row],[Close]]-E132)/E132</f>
        <v>-7.9661730233928363E-3</v>
      </c>
    </row>
    <row r="134" spans="1:8" x14ac:dyDescent="0.25">
      <c r="A134" s="8">
        <v>43370</v>
      </c>
      <c r="B134" s="4">
        <v>223.820007</v>
      </c>
      <c r="C134" s="4">
        <v>226.44000199999999</v>
      </c>
      <c r="D134" s="4">
        <v>223.53999300000001</v>
      </c>
      <c r="E134" s="4">
        <v>224.949997</v>
      </c>
      <c r="F134" s="4">
        <v>223.21052599999999</v>
      </c>
      <c r="G134" s="11">
        <v>30181200</v>
      </c>
      <c r="H134" s="3">
        <f>(AAPL[[#This Row],[Close]]-E133)/E133</f>
        <v>2.0551669726446526E-2</v>
      </c>
    </row>
    <row r="135" spans="1:8" x14ac:dyDescent="0.25">
      <c r="A135" s="8">
        <v>43371</v>
      </c>
      <c r="B135" s="4">
        <v>224.78999300000001</v>
      </c>
      <c r="C135" s="4">
        <v>225.83999600000001</v>
      </c>
      <c r="D135" s="4">
        <v>224.020004</v>
      </c>
      <c r="E135" s="4">
        <v>225.740005</v>
      </c>
      <c r="F135" s="4">
        <v>223.99443099999999</v>
      </c>
      <c r="G135" s="11">
        <v>22929400</v>
      </c>
      <c r="H135" s="3">
        <f>(AAPL[[#This Row],[Close]]-E134)/E134</f>
        <v>3.5119271417460847E-3</v>
      </c>
    </row>
    <row r="136" spans="1:8" x14ac:dyDescent="0.25">
      <c r="A136" s="8">
        <v>43374</v>
      </c>
      <c r="B136" s="4">
        <v>227.949997</v>
      </c>
      <c r="C136" s="4">
        <v>229.41999799999999</v>
      </c>
      <c r="D136" s="4">
        <v>226.35000600000001</v>
      </c>
      <c r="E136" s="4">
        <v>227.259995</v>
      </c>
      <c r="F136" s="4">
        <v>225.50266999999999</v>
      </c>
      <c r="G136" s="11">
        <v>23600800</v>
      </c>
      <c r="H136" s="3">
        <f>(AAPL[[#This Row],[Close]]-E135)/E135</f>
        <v>6.7333656699440896E-3</v>
      </c>
    </row>
    <row r="137" spans="1:8" x14ac:dyDescent="0.25">
      <c r="A137" s="8">
        <v>43375</v>
      </c>
      <c r="B137" s="4">
        <v>227.25</v>
      </c>
      <c r="C137" s="4">
        <v>230</v>
      </c>
      <c r="D137" s="4">
        <v>226.63000500000001</v>
      </c>
      <c r="E137" s="4">
        <v>229.279999</v>
      </c>
      <c r="F137" s="4">
        <v>227.50704999999999</v>
      </c>
      <c r="G137" s="11">
        <v>24788200</v>
      </c>
      <c r="H137" s="3">
        <f>(AAPL[[#This Row],[Close]]-E136)/E136</f>
        <v>8.8885155524182774E-3</v>
      </c>
    </row>
    <row r="138" spans="1:8" x14ac:dyDescent="0.25">
      <c r="A138" s="8">
        <v>43376</v>
      </c>
      <c r="B138" s="4">
        <v>230.050003</v>
      </c>
      <c r="C138" s="4">
        <v>233.470001</v>
      </c>
      <c r="D138" s="4">
        <v>229.779999</v>
      </c>
      <c r="E138" s="4">
        <v>232.070007</v>
      </c>
      <c r="F138" s="4">
        <v>230.27548200000001</v>
      </c>
      <c r="G138" s="11">
        <v>28654800</v>
      </c>
      <c r="H138" s="3">
        <f>(AAPL[[#This Row],[Close]]-E137)/E137</f>
        <v>1.2168562509458141E-2</v>
      </c>
    </row>
    <row r="139" spans="1:8" x14ac:dyDescent="0.25">
      <c r="A139" s="8">
        <v>43377</v>
      </c>
      <c r="B139" s="4">
        <v>230.779999</v>
      </c>
      <c r="C139" s="4">
        <v>232.35000600000001</v>
      </c>
      <c r="D139" s="4">
        <v>226.729996</v>
      </c>
      <c r="E139" s="4">
        <v>227.990005</v>
      </c>
      <c r="F139" s="4">
        <v>226.227036</v>
      </c>
      <c r="G139" s="11">
        <v>32042000</v>
      </c>
      <c r="H139" s="3">
        <f>(AAPL[[#This Row],[Close]]-E138)/E138</f>
        <v>-1.7580910401747897E-2</v>
      </c>
    </row>
    <row r="140" spans="1:8" x14ac:dyDescent="0.25">
      <c r="A140" s="8">
        <v>43378</v>
      </c>
      <c r="B140" s="4">
        <v>227.96000699999999</v>
      </c>
      <c r="C140" s="4">
        <v>228.41000399999999</v>
      </c>
      <c r="D140" s="4">
        <v>220.58000200000001</v>
      </c>
      <c r="E140" s="4">
        <v>224.28999300000001</v>
      </c>
      <c r="F140" s="4">
        <v>222.555634</v>
      </c>
      <c r="G140" s="11">
        <v>33580500</v>
      </c>
      <c r="H140" s="3">
        <f>(AAPL[[#This Row],[Close]]-E139)/E139</f>
        <v>-1.6228834242097531E-2</v>
      </c>
    </row>
    <row r="141" spans="1:8" x14ac:dyDescent="0.25">
      <c r="A141" s="8">
        <v>43381</v>
      </c>
      <c r="B141" s="4">
        <v>222.21000699999999</v>
      </c>
      <c r="C141" s="4">
        <v>224.800003</v>
      </c>
      <c r="D141" s="4">
        <v>220.199997</v>
      </c>
      <c r="E141" s="4">
        <v>223.770004</v>
      </c>
      <c r="F141" s="4">
        <v>222.039658</v>
      </c>
      <c r="G141" s="11">
        <v>29663900</v>
      </c>
      <c r="H141" s="3">
        <f>(AAPL[[#This Row],[Close]]-E140)/E140</f>
        <v>-2.3183780651328907E-3</v>
      </c>
    </row>
    <row r="142" spans="1:8" x14ac:dyDescent="0.25">
      <c r="A142" s="8">
        <v>43382</v>
      </c>
      <c r="B142" s="4">
        <v>223.63999899999999</v>
      </c>
      <c r="C142" s="4">
        <v>227.270004</v>
      </c>
      <c r="D142" s="4">
        <v>222.25</v>
      </c>
      <c r="E142" s="4">
        <v>226.86999499999999</v>
      </c>
      <c r="F142" s="4">
        <v>225.11567700000001</v>
      </c>
      <c r="G142" s="11">
        <v>26891000</v>
      </c>
      <c r="H142" s="3">
        <f>(AAPL[[#This Row],[Close]]-E141)/E141</f>
        <v>1.3853469833248913E-2</v>
      </c>
    </row>
    <row r="143" spans="1:8" x14ac:dyDescent="0.25">
      <c r="A143" s="8">
        <v>43383</v>
      </c>
      <c r="B143" s="4">
        <v>225.46000699999999</v>
      </c>
      <c r="C143" s="4">
        <v>226.35000600000001</v>
      </c>
      <c r="D143" s="4">
        <v>216.050003</v>
      </c>
      <c r="E143" s="4">
        <v>216.36000100000001</v>
      </c>
      <c r="F143" s="4">
        <v>214.68696600000001</v>
      </c>
      <c r="G143" s="11">
        <v>41990600</v>
      </c>
      <c r="H143" s="3">
        <f>(AAPL[[#This Row],[Close]]-E142)/E142</f>
        <v>-4.6326064405299509E-2</v>
      </c>
    </row>
    <row r="144" spans="1:8" x14ac:dyDescent="0.25">
      <c r="A144" s="8">
        <v>43384</v>
      </c>
      <c r="B144" s="4">
        <v>214.520004</v>
      </c>
      <c r="C144" s="4">
        <v>219.5</v>
      </c>
      <c r="D144" s="4">
        <v>212.320007</v>
      </c>
      <c r="E144" s="4">
        <v>214.449997</v>
      </c>
      <c r="F144" s="4">
        <v>212.791718</v>
      </c>
      <c r="G144" s="11">
        <v>53124400</v>
      </c>
      <c r="H144" s="3">
        <f>(AAPL[[#This Row],[Close]]-E143)/E143</f>
        <v>-8.8278979070628445E-3</v>
      </c>
    </row>
    <row r="145" spans="1:8" x14ac:dyDescent="0.25">
      <c r="A145" s="8">
        <v>43385</v>
      </c>
      <c r="B145" s="4">
        <v>220.41999799999999</v>
      </c>
      <c r="C145" s="4">
        <v>222.88000500000001</v>
      </c>
      <c r="D145" s="4">
        <v>216.83999600000001</v>
      </c>
      <c r="E145" s="4">
        <v>222.11000100000001</v>
      </c>
      <c r="F145" s="4">
        <v>220.39250200000001</v>
      </c>
      <c r="G145" s="11">
        <v>40337900</v>
      </c>
      <c r="H145" s="3">
        <f>(AAPL[[#This Row],[Close]]-E144)/E144</f>
        <v>3.571930103594273E-2</v>
      </c>
    </row>
    <row r="146" spans="1:8" x14ac:dyDescent="0.25">
      <c r="A146" s="8">
        <v>43388</v>
      </c>
      <c r="B146" s="4">
        <v>221.16000399999999</v>
      </c>
      <c r="C146" s="4">
        <v>221.83000200000001</v>
      </c>
      <c r="D146" s="4">
        <v>217.270004</v>
      </c>
      <c r="E146" s="4">
        <v>217.36000100000001</v>
      </c>
      <c r="F146" s="4">
        <v>215.67922999999999</v>
      </c>
      <c r="G146" s="11">
        <v>30791000</v>
      </c>
      <c r="H146" s="3">
        <f>(AAPL[[#This Row],[Close]]-E145)/E145</f>
        <v>-2.1385799732628878E-2</v>
      </c>
    </row>
    <row r="147" spans="1:8" x14ac:dyDescent="0.25">
      <c r="A147" s="8">
        <v>43389</v>
      </c>
      <c r="B147" s="4">
        <v>218.929993</v>
      </c>
      <c r="C147" s="4">
        <v>222.990005</v>
      </c>
      <c r="D147" s="4">
        <v>216.759995</v>
      </c>
      <c r="E147" s="4">
        <v>222.14999399999999</v>
      </c>
      <c r="F147" s="4">
        <v>220.432175</v>
      </c>
      <c r="G147" s="11">
        <v>29184000</v>
      </c>
      <c r="H147" s="3">
        <f>(AAPL[[#This Row],[Close]]-E146)/E146</f>
        <v>2.2037141046939823E-2</v>
      </c>
    </row>
    <row r="148" spans="1:8" x14ac:dyDescent="0.25">
      <c r="A148" s="8">
        <v>43390</v>
      </c>
      <c r="B148" s="4">
        <v>222.300003</v>
      </c>
      <c r="C148" s="4">
        <v>222.63999899999999</v>
      </c>
      <c r="D148" s="4">
        <v>219.33999600000001</v>
      </c>
      <c r="E148" s="4">
        <v>221.19000199999999</v>
      </c>
      <c r="F148" s="4">
        <v>219.479614</v>
      </c>
      <c r="G148" s="11">
        <v>22885400</v>
      </c>
      <c r="H148" s="3">
        <f>(AAPL[[#This Row],[Close]]-E147)/E147</f>
        <v>-4.321368561459424E-3</v>
      </c>
    </row>
    <row r="149" spans="1:8" x14ac:dyDescent="0.25">
      <c r="A149" s="8">
        <v>43391</v>
      </c>
      <c r="B149" s="4">
        <v>217.86000100000001</v>
      </c>
      <c r="C149" s="4">
        <v>219.740005</v>
      </c>
      <c r="D149" s="4">
        <v>213</v>
      </c>
      <c r="E149" s="4">
        <v>216.020004</v>
      </c>
      <c r="F149" s="4">
        <v>214.34957900000001</v>
      </c>
      <c r="G149" s="11">
        <v>32581300</v>
      </c>
      <c r="H149" s="3">
        <f>(AAPL[[#This Row],[Close]]-E148)/E148</f>
        <v>-2.3373560980391839E-2</v>
      </c>
    </row>
    <row r="150" spans="1:8" x14ac:dyDescent="0.25">
      <c r="A150" s="8">
        <v>43392</v>
      </c>
      <c r="B150" s="4">
        <v>218.05999800000001</v>
      </c>
      <c r="C150" s="4">
        <v>221.259995</v>
      </c>
      <c r="D150" s="4">
        <v>217.429993</v>
      </c>
      <c r="E150" s="4">
        <v>219.30999800000001</v>
      </c>
      <c r="F150" s="4">
        <v>217.61415099999999</v>
      </c>
      <c r="G150" s="11">
        <v>33078700</v>
      </c>
      <c r="H150" s="3">
        <f>(AAPL[[#This Row],[Close]]-E149)/E149</f>
        <v>1.5230043232477708E-2</v>
      </c>
    </row>
    <row r="151" spans="1:8" x14ac:dyDescent="0.25">
      <c r="A151" s="8">
        <v>43395</v>
      </c>
      <c r="B151" s="4">
        <v>219.78999300000001</v>
      </c>
      <c r="C151" s="4">
        <v>223.36000100000001</v>
      </c>
      <c r="D151" s="4">
        <v>218.94000199999999</v>
      </c>
      <c r="E151" s="4">
        <v>220.64999399999999</v>
      </c>
      <c r="F151" s="4">
        <v>218.943771</v>
      </c>
      <c r="G151" s="11">
        <v>28792100</v>
      </c>
      <c r="H151" s="3">
        <f>(AAPL[[#This Row],[Close]]-E150)/E150</f>
        <v>6.1100543168122459E-3</v>
      </c>
    </row>
    <row r="152" spans="1:8" x14ac:dyDescent="0.25">
      <c r="A152" s="8">
        <v>43396</v>
      </c>
      <c r="B152" s="4">
        <v>215.83000200000001</v>
      </c>
      <c r="C152" s="4">
        <v>223.25</v>
      </c>
      <c r="D152" s="4">
        <v>214.699997</v>
      </c>
      <c r="E152" s="4">
        <v>222.729996</v>
      </c>
      <c r="F152" s="4">
        <v>221.00769</v>
      </c>
      <c r="G152" s="11">
        <v>38767800</v>
      </c>
      <c r="H152" s="3">
        <f>(AAPL[[#This Row],[Close]]-E151)/E151</f>
        <v>9.4267031795160963E-3</v>
      </c>
    </row>
    <row r="153" spans="1:8" x14ac:dyDescent="0.25">
      <c r="A153" s="8">
        <v>43397</v>
      </c>
      <c r="B153" s="4">
        <v>222.60000600000001</v>
      </c>
      <c r="C153" s="4">
        <v>224.229996</v>
      </c>
      <c r="D153" s="4">
        <v>214.53999300000001</v>
      </c>
      <c r="E153" s="4">
        <v>215.08999600000001</v>
      </c>
      <c r="F153" s="4">
        <v>213.426773</v>
      </c>
      <c r="G153" s="11">
        <v>40925500</v>
      </c>
      <c r="H153" s="3">
        <f>(AAPL[[#This Row],[Close]]-E152)/E152</f>
        <v>-3.4301621412501558E-2</v>
      </c>
    </row>
    <row r="154" spans="1:8" x14ac:dyDescent="0.25">
      <c r="A154" s="8">
        <v>43398</v>
      </c>
      <c r="B154" s="4">
        <v>217.71000699999999</v>
      </c>
      <c r="C154" s="4">
        <v>221.38000500000001</v>
      </c>
      <c r="D154" s="4">
        <v>216.75</v>
      </c>
      <c r="E154" s="4">
        <v>219.800003</v>
      </c>
      <c r="F154" s="4">
        <v>218.100357</v>
      </c>
      <c r="G154" s="11">
        <v>29855800</v>
      </c>
      <c r="H154" s="3">
        <f>(AAPL[[#This Row],[Close]]-E153)/E153</f>
        <v>2.1897843170725569E-2</v>
      </c>
    </row>
    <row r="155" spans="1:8" x14ac:dyDescent="0.25">
      <c r="A155" s="8">
        <v>43399</v>
      </c>
      <c r="B155" s="4">
        <v>215.89999399999999</v>
      </c>
      <c r="C155" s="4">
        <v>220.19000199999999</v>
      </c>
      <c r="D155" s="4">
        <v>212.66999799999999</v>
      </c>
      <c r="E155" s="4">
        <v>216.300003</v>
      </c>
      <c r="F155" s="4">
        <v>214.627411</v>
      </c>
      <c r="G155" s="11">
        <v>47258400</v>
      </c>
      <c r="H155" s="3">
        <f>(AAPL[[#This Row],[Close]]-E154)/E154</f>
        <v>-1.5923566661643768E-2</v>
      </c>
    </row>
    <row r="156" spans="1:8" x14ac:dyDescent="0.25">
      <c r="A156" s="8">
        <v>43402</v>
      </c>
      <c r="B156" s="4">
        <v>219.19000199999999</v>
      </c>
      <c r="C156" s="4">
        <v>219.69000199999999</v>
      </c>
      <c r="D156" s="4">
        <v>206.08999600000001</v>
      </c>
      <c r="E156" s="4">
        <v>212.240005</v>
      </c>
      <c r="F156" s="4">
        <v>210.59883099999999</v>
      </c>
      <c r="G156" s="11">
        <v>45935500</v>
      </c>
      <c r="H156" s="3">
        <f>(AAPL[[#This Row],[Close]]-E155)/E155</f>
        <v>-1.8770217030463967E-2</v>
      </c>
    </row>
    <row r="157" spans="1:8" x14ac:dyDescent="0.25">
      <c r="A157" s="8">
        <v>43403</v>
      </c>
      <c r="B157" s="4">
        <v>211.14999399999999</v>
      </c>
      <c r="C157" s="4">
        <v>215.179993</v>
      </c>
      <c r="D157" s="4">
        <v>209.270004</v>
      </c>
      <c r="E157" s="4">
        <v>213.300003</v>
      </c>
      <c r="F157" s="4">
        <v>211.65062</v>
      </c>
      <c r="G157" s="11">
        <v>36660000</v>
      </c>
      <c r="H157" s="3">
        <f>(AAPL[[#This Row],[Close]]-E156)/E156</f>
        <v>4.9943364824176634E-3</v>
      </c>
    </row>
    <row r="158" spans="1:8" x14ac:dyDescent="0.25">
      <c r="A158" s="8">
        <v>43404</v>
      </c>
      <c r="B158" s="4">
        <v>216.88000500000001</v>
      </c>
      <c r="C158" s="4">
        <v>220.449997</v>
      </c>
      <c r="D158" s="4">
        <v>216.61999499999999</v>
      </c>
      <c r="E158" s="4">
        <v>218.86000100000001</v>
      </c>
      <c r="F158" s="4">
        <v>217.167618</v>
      </c>
      <c r="G158" s="11">
        <v>38358900</v>
      </c>
      <c r="H158" s="3">
        <f>(AAPL[[#This Row],[Close]]-E157)/E157</f>
        <v>2.6066563158932573E-2</v>
      </c>
    </row>
    <row r="159" spans="1:8" x14ac:dyDescent="0.25">
      <c r="A159" s="8">
        <v>43405</v>
      </c>
      <c r="B159" s="4">
        <v>219.050003</v>
      </c>
      <c r="C159" s="4">
        <v>222.36000100000001</v>
      </c>
      <c r="D159" s="4">
        <v>216.80999800000001</v>
      </c>
      <c r="E159" s="4">
        <v>222.220001</v>
      </c>
      <c r="F159" s="4">
        <v>220.501633</v>
      </c>
      <c r="G159" s="11">
        <v>58323200</v>
      </c>
      <c r="H159" s="3">
        <f>(AAPL[[#This Row],[Close]]-E158)/E158</f>
        <v>1.5352279926198049E-2</v>
      </c>
    </row>
    <row r="160" spans="1:8" x14ac:dyDescent="0.25">
      <c r="A160" s="8">
        <v>43406</v>
      </c>
      <c r="B160" s="4">
        <v>209.550003</v>
      </c>
      <c r="C160" s="4">
        <v>213.64999399999999</v>
      </c>
      <c r="D160" s="4">
        <v>205.429993</v>
      </c>
      <c r="E160" s="4">
        <v>207.479996</v>
      </c>
      <c r="F160" s="4">
        <v>205.87560999999999</v>
      </c>
      <c r="G160" s="11">
        <v>91328700</v>
      </c>
      <c r="H160" s="3">
        <f>(AAPL[[#This Row],[Close]]-E159)/E159</f>
        <v>-6.6330685508366988E-2</v>
      </c>
    </row>
    <row r="161" spans="1:8" x14ac:dyDescent="0.25">
      <c r="A161" s="8">
        <v>43409</v>
      </c>
      <c r="B161" s="4">
        <v>204.300003</v>
      </c>
      <c r="C161" s="4">
        <v>204.38999899999999</v>
      </c>
      <c r="D161" s="4">
        <v>198.16999799999999</v>
      </c>
      <c r="E161" s="4">
        <v>201.58999600000001</v>
      </c>
      <c r="F161" s="4">
        <v>200.031158</v>
      </c>
      <c r="G161" s="11">
        <v>66163700</v>
      </c>
      <c r="H161" s="3">
        <f>(AAPL[[#This Row],[Close]]-E160)/E160</f>
        <v>-2.8388278935575006E-2</v>
      </c>
    </row>
    <row r="162" spans="1:8" x14ac:dyDescent="0.25">
      <c r="A162" s="8">
        <v>43410</v>
      </c>
      <c r="B162" s="4">
        <v>201.91999799999999</v>
      </c>
      <c r="C162" s="4">
        <v>204.720001</v>
      </c>
      <c r="D162" s="4">
        <v>201.69000199999999</v>
      </c>
      <c r="E162" s="4">
        <v>203.770004</v>
      </c>
      <c r="F162" s="4">
        <v>202.194321</v>
      </c>
      <c r="G162" s="11">
        <v>31882900</v>
      </c>
      <c r="H162" s="3">
        <f>(AAPL[[#This Row],[Close]]-E161)/E161</f>
        <v>1.0814068372718191E-2</v>
      </c>
    </row>
    <row r="163" spans="1:8" x14ac:dyDescent="0.25">
      <c r="A163" s="8">
        <v>43411</v>
      </c>
      <c r="B163" s="4">
        <v>205.970001</v>
      </c>
      <c r="C163" s="4">
        <v>210.05999800000001</v>
      </c>
      <c r="D163" s="4">
        <v>204.13000500000001</v>
      </c>
      <c r="E163" s="4">
        <v>209.949997</v>
      </c>
      <c r="F163" s="4">
        <v>208.32650799999999</v>
      </c>
      <c r="G163" s="11">
        <v>33424400</v>
      </c>
      <c r="H163" s="3">
        <f>(AAPL[[#This Row],[Close]]-E162)/E162</f>
        <v>3.0328276383603525E-2</v>
      </c>
    </row>
    <row r="164" spans="1:8" x14ac:dyDescent="0.25">
      <c r="A164" s="8">
        <v>43412</v>
      </c>
      <c r="B164" s="4">
        <v>209.979996</v>
      </c>
      <c r="C164" s="4">
        <v>210.11999499999999</v>
      </c>
      <c r="D164" s="4">
        <v>206.75</v>
      </c>
      <c r="E164" s="4">
        <v>208.490005</v>
      </c>
      <c r="F164" s="4">
        <v>207.59965500000001</v>
      </c>
      <c r="G164" s="11">
        <v>25362600</v>
      </c>
      <c r="H164" s="3">
        <f>(AAPL[[#This Row],[Close]]-E163)/E163</f>
        <v>-6.9539986704548499E-3</v>
      </c>
    </row>
    <row r="165" spans="1:8" x14ac:dyDescent="0.25">
      <c r="A165" s="8">
        <v>43413</v>
      </c>
      <c r="B165" s="4">
        <v>205.550003</v>
      </c>
      <c r="C165" s="4">
        <v>206.009995</v>
      </c>
      <c r="D165" s="4">
        <v>202.25</v>
      </c>
      <c r="E165" s="4">
        <v>204.470001</v>
      </c>
      <c r="F165" s="4">
        <v>203.59681699999999</v>
      </c>
      <c r="G165" s="11">
        <v>34365800</v>
      </c>
      <c r="H165" s="3">
        <f>(AAPL[[#This Row],[Close]]-E164)/E164</f>
        <v>-1.9281519034929279E-2</v>
      </c>
    </row>
    <row r="166" spans="1:8" x14ac:dyDescent="0.25">
      <c r="A166" s="8">
        <v>43416</v>
      </c>
      <c r="B166" s="4">
        <v>199</v>
      </c>
      <c r="C166" s="4">
        <v>199.85000600000001</v>
      </c>
      <c r="D166" s="4">
        <v>193.78999300000001</v>
      </c>
      <c r="E166" s="4">
        <v>194.16999799999999</v>
      </c>
      <c r="F166" s="4">
        <v>193.34079</v>
      </c>
      <c r="G166" s="11">
        <v>51135500</v>
      </c>
      <c r="H166" s="3">
        <f>(AAPL[[#This Row],[Close]]-E165)/E165</f>
        <v>-5.0374152441071317E-2</v>
      </c>
    </row>
    <row r="167" spans="1:8" x14ac:dyDescent="0.25">
      <c r="A167" s="8">
        <v>43417</v>
      </c>
      <c r="B167" s="4">
        <v>191.63000500000001</v>
      </c>
      <c r="C167" s="4">
        <v>197.179993</v>
      </c>
      <c r="D167" s="4">
        <v>191.449997</v>
      </c>
      <c r="E167" s="4">
        <v>192.229996</v>
      </c>
      <c r="F167" s="4">
        <v>191.40907300000001</v>
      </c>
      <c r="G167" s="11">
        <v>46882900</v>
      </c>
      <c r="H167" s="3">
        <f>(AAPL[[#This Row],[Close]]-E166)/E166</f>
        <v>-9.9912551886620141E-3</v>
      </c>
    </row>
    <row r="168" spans="1:8" x14ac:dyDescent="0.25">
      <c r="A168" s="8">
        <v>43418</v>
      </c>
      <c r="B168" s="4">
        <v>193.89999399999999</v>
      </c>
      <c r="C168" s="4">
        <v>194.479996</v>
      </c>
      <c r="D168" s="4">
        <v>185.929993</v>
      </c>
      <c r="E168" s="4">
        <v>186.800003</v>
      </c>
      <c r="F168" s="4">
        <v>186.002274</v>
      </c>
      <c r="G168" s="11">
        <v>60801000</v>
      </c>
      <c r="H168" s="3">
        <f>(AAPL[[#This Row],[Close]]-E167)/E167</f>
        <v>-2.8247376127500914E-2</v>
      </c>
    </row>
    <row r="169" spans="1:8" x14ac:dyDescent="0.25">
      <c r="A169" s="8">
        <v>43419</v>
      </c>
      <c r="B169" s="4">
        <v>188.38999899999999</v>
      </c>
      <c r="C169" s="4">
        <v>191.970001</v>
      </c>
      <c r="D169" s="4">
        <v>186.89999399999999</v>
      </c>
      <c r="E169" s="4">
        <v>191.41000399999999</v>
      </c>
      <c r="F169" s="4">
        <v>190.59259</v>
      </c>
      <c r="G169" s="11">
        <v>46478800</v>
      </c>
      <c r="H169" s="3">
        <f>(AAPL[[#This Row],[Close]]-E168)/E168</f>
        <v>2.4678805813509449E-2</v>
      </c>
    </row>
    <row r="170" spans="1:8" x14ac:dyDescent="0.25">
      <c r="A170" s="8">
        <v>43420</v>
      </c>
      <c r="B170" s="4">
        <v>190.5</v>
      </c>
      <c r="C170" s="4">
        <v>194.970001</v>
      </c>
      <c r="D170" s="4">
        <v>189.46000699999999</v>
      </c>
      <c r="E170" s="4">
        <v>193.529999</v>
      </c>
      <c r="F170" s="4">
        <v>192.70353700000001</v>
      </c>
      <c r="G170" s="11">
        <v>36928300</v>
      </c>
      <c r="H170" s="3">
        <f>(AAPL[[#This Row],[Close]]-E169)/E169</f>
        <v>1.1075675020622315E-2</v>
      </c>
    </row>
    <row r="171" spans="1:8" x14ac:dyDescent="0.25">
      <c r="A171" s="8">
        <v>43423</v>
      </c>
      <c r="B171" s="4">
        <v>190</v>
      </c>
      <c r="C171" s="4">
        <v>190.699997</v>
      </c>
      <c r="D171" s="4">
        <v>184.990005</v>
      </c>
      <c r="E171" s="4">
        <v>185.86000100000001</v>
      </c>
      <c r="F171" s="4">
        <v>185.066284</v>
      </c>
      <c r="G171" s="11">
        <v>41925300</v>
      </c>
      <c r="H171" s="3">
        <f>(AAPL[[#This Row],[Close]]-E170)/E170</f>
        <v>-3.9632088253149803E-2</v>
      </c>
    </row>
    <row r="172" spans="1:8" x14ac:dyDescent="0.25">
      <c r="A172" s="8">
        <v>43424</v>
      </c>
      <c r="B172" s="4">
        <v>178.36999499999999</v>
      </c>
      <c r="C172" s="4">
        <v>181.470001</v>
      </c>
      <c r="D172" s="4">
        <v>175.509995</v>
      </c>
      <c r="E172" s="4">
        <v>176.979996</v>
      </c>
      <c r="F172" s="4">
        <v>176.224197</v>
      </c>
      <c r="G172" s="11">
        <v>67825200</v>
      </c>
      <c r="H172" s="3">
        <f>(AAPL[[#This Row],[Close]]-E171)/E171</f>
        <v>-4.7777923986990677E-2</v>
      </c>
    </row>
    <row r="173" spans="1:8" x14ac:dyDescent="0.25">
      <c r="A173" s="8">
        <v>43425</v>
      </c>
      <c r="B173" s="4">
        <v>179.729996</v>
      </c>
      <c r="C173" s="4">
        <v>180.270004</v>
      </c>
      <c r="D173" s="4">
        <v>176.550003</v>
      </c>
      <c r="E173" s="4">
        <v>176.779999</v>
      </c>
      <c r="F173" s="4">
        <v>176.02505500000001</v>
      </c>
      <c r="G173" s="11">
        <v>31124200</v>
      </c>
      <c r="H173" s="3">
        <f>(AAPL[[#This Row],[Close]]-E172)/E172</f>
        <v>-1.1300542689581495E-3</v>
      </c>
    </row>
    <row r="174" spans="1:8" x14ac:dyDescent="0.25">
      <c r="A174" s="8">
        <v>43427</v>
      </c>
      <c r="B174" s="4">
        <v>174.94000199999999</v>
      </c>
      <c r="C174" s="4">
        <v>176.60000600000001</v>
      </c>
      <c r="D174" s="4">
        <v>172.10000600000001</v>
      </c>
      <c r="E174" s="4">
        <v>172.28999300000001</v>
      </c>
      <c r="F174" s="4">
        <v>171.55422999999999</v>
      </c>
      <c r="G174" s="11">
        <v>23624000</v>
      </c>
      <c r="H174" s="3">
        <f>(AAPL[[#This Row],[Close]]-E173)/E173</f>
        <v>-2.5398834853483588E-2</v>
      </c>
    </row>
    <row r="175" spans="1:8" x14ac:dyDescent="0.25">
      <c r="A175" s="8">
        <v>43430</v>
      </c>
      <c r="B175" s="4">
        <v>174.240005</v>
      </c>
      <c r="C175" s="4">
        <v>174.949997</v>
      </c>
      <c r="D175" s="4">
        <v>170.259995</v>
      </c>
      <c r="E175" s="4">
        <v>174.61999499999999</v>
      </c>
      <c r="F175" s="4">
        <v>173.87428299999999</v>
      </c>
      <c r="G175" s="11">
        <v>44998500</v>
      </c>
      <c r="H175" s="3">
        <f>(AAPL[[#This Row],[Close]]-E174)/E174</f>
        <v>1.3523722181589379E-2</v>
      </c>
    </row>
    <row r="176" spans="1:8" x14ac:dyDescent="0.25">
      <c r="A176" s="8">
        <v>43431</v>
      </c>
      <c r="B176" s="4">
        <v>171.509995</v>
      </c>
      <c r="C176" s="4">
        <v>174.770004</v>
      </c>
      <c r="D176" s="4">
        <v>170.88000500000001</v>
      </c>
      <c r="E176" s="4">
        <v>174.240005</v>
      </c>
      <c r="F176" s="4">
        <v>173.49591100000001</v>
      </c>
      <c r="G176" s="11">
        <v>41387400</v>
      </c>
      <c r="H176" s="3">
        <f>(AAPL[[#This Row],[Close]]-E175)/E175</f>
        <v>-2.1760967293578968E-3</v>
      </c>
    </row>
    <row r="177" spans="1:8" x14ac:dyDescent="0.25">
      <c r="A177" s="8">
        <v>43432</v>
      </c>
      <c r="B177" s="4">
        <v>176.729996</v>
      </c>
      <c r="C177" s="4">
        <v>181.28999300000001</v>
      </c>
      <c r="D177" s="4">
        <v>174.929993</v>
      </c>
      <c r="E177" s="4">
        <v>180.94000199999999</v>
      </c>
      <c r="F177" s="4">
        <v>180.16729699999999</v>
      </c>
      <c r="G177" s="11">
        <v>46062500</v>
      </c>
      <c r="H177" s="3">
        <f>(AAPL[[#This Row],[Close]]-E176)/E176</f>
        <v>3.84526905861831E-2</v>
      </c>
    </row>
    <row r="178" spans="1:8" x14ac:dyDescent="0.25">
      <c r="A178" s="8">
        <v>43433</v>
      </c>
      <c r="B178" s="4">
        <v>182.66000399999999</v>
      </c>
      <c r="C178" s="4">
        <v>182.800003</v>
      </c>
      <c r="D178" s="4">
        <v>177.699997</v>
      </c>
      <c r="E178" s="4">
        <v>179.550003</v>
      </c>
      <c r="F178" s="4">
        <v>178.78323399999999</v>
      </c>
      <c r="G178" s="11">
        <v>41770000</v>
      </c>
      <c r="H178" s="3">
        <f>(AAPL[[#This Row],[Close]]-E177)/E177</f>
        <v>-7.6820989534419756E-3</v>
      </c>
    </row>
    <row r="179" spans="1:8" x14ac:dyDescent="0.25">
      <c r="A179" s="8">
        <v>43434</v>
      </c>
      <c r="B179" s="4">
        <v>180.28999300000001</v>
      </c>
      <c r="C179" s="4">
        <v>180.33000200000001</v>
      </c>
      <c r="D179" s="4">
        <v>177.029999</v>
      </c>
      <c r="E179" s="4">
        <v>178.58000200000001</v>
      </c>
      <c r="F179" s="4">
        <v>177.81738300000001</v>
      </c>
      <c r="G179" s="11">
        <v>39531500</v>
      </c>
      <c r="H179" s="3">
        <f>(AAPL[[#This Row],[Close]]-E178)/E178</f>
        <v>-5.4024003552926494E-3</v>
      </c>
    </row>
    <row r="180" spans="1:8" x14ac:dyDescent="0.25">
      <c r="A180" s="8">
        <v>43437</v>
      </c>
      <c r="B180" s="4">
        <v>184.46000699999999</v>
      </c>
      <c r="C180" s="4">
        <v>184.94000199999999</v>
      </c>
      <c r="D180" s="4">
        <v>181.21000699999999</v>
      </c>
      <c r="E180" s="4">
        <v>184.820007</v>
      </c>
      <c r="F180" s="4">
        <v>184.030731</v>
      </c>
      <c r="G180" s="11">
        <v>40802500</v>
      </c>
      <c r="H180" s="3">
        <f>(AAPL[[#This Row],[Close]]-E179)/E179</f>
        <v>3.4942350375827616E-2</v>
      </c>
    </row>
    <row r="181" spans="1:8" x14ac:dyDescent="0.25">
      <c r="A181" s="8">
        <v>43438</v>
      </c>
      <c r="B181" s="4">
        <v>180.949997</v>
      </c>
      <c r="C181" s="4">
        <v>182.38999899999999</v>
      </c>
      <c r="D181" s="4">
        <v>176.270004</v>
      </c>
      <c r="E181" s="4">
        <v>176.69000199999999</v>
      </c>
      <c r="F181" s="4">
        <v>175.93545499999999</v>
      </c>
      <c r="G181" s="11">
        <v>41344300</v>
      </c>
      <c r="H181" s="3">
        <f>(AAPL[[#This Row],[Close]]-E180)/E180</f>
        <v>-4.3988771194019116E-2</v>
      </c>
    </row>
    <row r="182" spans="1:8" x14ac:dyDescent="0.25">
      <c r="A182" s="8">
        <v>43440</v>
      </c>
      <c r="B182" s="4">
        <v>171.759995</v>
      </c>
      <c r="C182" s="4">
        <v>174.779999</v>
      </c>
      <c r="D182" s="4">
        <v>170.41999799999999</v>
      </c>
      <c r="E182" s="4">
        <v>174.720001</v>
      </c>
      <c r="F182" s="4">
        <v>173.973862</v>
      </c>
      <c r="G182" s="11">
        <v>43098400</v>
      </c>
      <c r="H182" s="3">
        <f>(AAPL[[#This Row],[Close]]-E181)/E181</f>
        <v>-1.1149476358034092E-2</v>
      </c>
    </row>
    <row r="183" spans="1:8" x14ac:dyDescent="0.25">
      <c r="A183" s="8">
        <v>43441</v>
      </c>
      <c r="B183" s="4">
        <v>173.490005</v>
      </c>
      <c r="C183" s="4">
        <v>174.490005</v>
      </c>
      <c r="D183" s="4">
        <v>168.300003</v>
      </c>
      <c r="E183" s="4">
        <v>168.490005</v>
      </c>
      <c r="F183" s="4">
        <v>167.770477</v>
      </c>
      <c r="G183" s="11">
        <v>42281600</v>
      </c>
      <c r="H183" s="3">
        <f>(AAPL[[#This Row],[Close]]-E182)/E182</f>
        <v>-3.5657028184197415E-2</v>
      </c>
    </row>
    <row r="184" spans="1:8" x14ac:dyDescent="0.25">
      <c r="A184" s="8">
        <v>43444</v>
      </c>
      <c r="B184" s="4">
        <v>165</v>
      </c>
      <c r="C184" s="4">
        <v>170.08999600000001</v>
      </c>
      <c r="D184" s="4">
        <v>163.33000200000001</v>
      </c>
      <c r="E184" s="4">
        <v>169.60000600000001</v>
      </c>
      <c r="F184" s="4">
        <v>168.875732</v>
      </c>
      <c r="G184" s="11">
        <v>62026000</v>
      </c>
      <c r="H184" s="3">
        <f>(AAPL[[#This Row],[Close]]-E183)/E183</f>
        <v>6.5879338065187379E-3</v>
      </c>
    </row>
    <row r="185" spans="1:8" x14ac:dyDescent="0.25">
      <c r="A185" s="8">
        <v>43445</v>
      </c>
      <c r="B185" s="4">
        <v>171.66000399999999</v>
      </c>
      <c r="C185" s="4">
        <v>171.78999300000001</v>
      </c>
      <c r="D185" s="4">
        <v>167</v>
      </c>
      <c r="E185" s="4">
        <v>168.63000500000001</v>
      </c>
      <c r="F185" s="4">
        <v>167.90986599999999</v>
      </c>
      <c r="G185" s="11">
        <v>47281700</v>
      </c>
      <c r="H185" s="3">
        <f>(AAPL[[#This Row],[Close]]-E184)/E184</f>
        <v>-5.7193453165325734E-3</v>
      </c>
    </row>
    <row r="186" spans="1:8" x14ac:dyDescent="0.25">
      <c r="A186" s="8">
        <v>43446</v>
      </c>
      <c r="B186" s="4">
        <v>170.39999399999999</v>
      </c>
      <c r="C186" s="4">
        <v>171.91999799999999</v>
      </c>
      <c r="D186" s="4">
        <v>169.020004</v>
      </c>
      <c r="E186" s="4">
        <v>169.10000600000001</v>
      </c>
      <c r="F186" s="4">
        <v>168.377869</v>
      </c>
      <c r="G186" s="11">
        <v>35627700</v>
      </c>
      <c r="H186" s="3">
        <f>(AAPL[[#This Row],[Close]]-E185)/E185</f>
        <v>2.7871730182300373E-3</v>
      </c>
    </row>
    <row r="187" spans="1:8" x14ac:dyDescent="0.25">
      <c r="A187" s="8">
        <v>43447</v>
      </c>
      <c r="B187" s="4">
        <v>170.490005</v>
      </c>
      <c r="C187" s="4">
        <v>172.570007</v>
      </c>
      <c r="D187" s="4">
        <v>169.550003</v>
      </c>
      <c r="E187" s="4">
        <v>170.949997</v>
      </c>
      <c r="F187" s="4">
        <v>170.219955</v>
      </c>
      <c r="G187" s="11">
        <v>31898600</v>
      </c>
      <c r="H187" s="3">
        <f>(AAPL[[#This Row],[Close]]-E186)/E186</f>
        <v>1.0940218417260072E-2</v>
      </c>
    </row>
    <row r="188" spans="1:8" x14ac:dyDescent="0.25">
      <c r="A188" s="8">
        <v>43448</v>
      </c>
      <c r="B188" s="4">
        <v>169</v>
      </c>
      <c r="C188" s="4">
        <v>169.08000200000001</v>
      </c>
      <c r="D188" s="4">
        <v>165.279999</v>
      </c>
      <c r="E188" s="4">
        <v>165.479996</v>
      </c>
      <c r="F188" s="4">
        <v>164.773315</v>
      </c>
      <c r="G188" s="11">
        <v>40703700</v>
      </c>
      <c r="H188" s="3">
        <f>(AAPL[[#This Row],[Close]]-E187)/E187</f>
        <v>-3.1997666545732648E-2</v>
      </c>
    </row>
    <row r="189" spans="1:8" x14ac:dyDescent="0.25">
      <c r="A189" s="8">
        <v>43451</v>
      </c>
      <c r="B189" s="4">
        <v>165.449997</v>
      </c>
      <c r="C189" s="4">
        <v>168.35000600000001</v>
      </c>
      <c r="D189" s="4">
        <v>162.729996</v>
      </c>
      <c r="E189" s="4">
        <v>163.94000199999999</v>
      </c>
      <c r="F189" s="4">
        <v>163.23989900000001</v>
      </c>
      <c r="G189" s="11">
        <v>44287900</v>
      </c>
      <c r="H189" s="3">
        <f>(AAPL[[#This Row],[Close]]-E188)/E188</f>
        <v>-9.3062245420891063E-3</v>
      </c>
    </row>
    <row r="190" spans="1:8" x14ac:dyDescent="0.25">
      <c r="A190" s="8">
        <v>43452</v>
      </c>
      <c r="B190" s="4">
        <v>165.38000500000001</v>
      </c>
      <c r="C190" s="4">
        <v>167.529999</v>
      </c>
      <c r="D190" s="4">
        <v>164.38999899999999</v>
      </c>
      <c r="E190" s="4">
        <v>166.070007</v>
      </c>
      <c r="F190" s="4">
        <v>165.36080899999999</v>
      </c>
      <c r="G190" s="11">
        <v>33841500</v>
      </c>
      <c r="H190" s="3">
        <f>(AAPL[[#This Row],[Close]]-E189)/E189</f>
        <v>1.2992588593478309E-2</v>
      </c>
    </row>
    <row r="191" spans="1:8" x14ac:dyDescent="0.25">
      <c r="A191" s="8">
        <v>43453</v>
      </c>
      <c r="B191" s="4">
        <v>166</v>
      </c>
      <c r="C191" s="4">
        <v>167.449997</v>
      </c>
      <c r="D191" s="4">
        <v>159.08999600000001</v>
      </c>
      <c r="E191" s="4">
        <v>160.88999899999999</v>
      </c>
      <c r="F191" s="4">
        <v>160.20292699999999</v>
      </c>
      <c r="G191" s="11">
        <v>49047300</v>
      </c>
      <c r="H191" s="3">
        <f>(AAPL[[#This Row],[Close]]-E190)/E190</f>
        <v>-3.1191713022568939E-2</v>
      </c>
    </row>
    <row r="192" spans="1:8" x14ac:dyDescent="0.25">
      <c r="A192" s="8">
        <v>43454</v>
      </c>
      <c r="B192" s="4">
        <v>160.39999399999999</v>
      </c>
      <c r="C192" s="4">
        <v>162.11000100000001</v>
      </c>
      <c r="D192" s="4">
        <v>155.300003</v>
      </c>
      <c r="E192" s="4">
        <v>156.83000200000001</v>
      </c>
      <c r="F192" s="4">
        <v>156.16026299999999</v>
      </c>
      <c r="G192" s="11">
        <v>64773000</v>
      </c>
      <c r="H192" s="3">
        <f>(AAPL[[#This Row],[Close]]-E191)/E191</f>
        <v>-2.5234613868075056E-2</v>
      </c>
    </row>
    <row r="193" spans="1:8" x14ac:dyDescent="0.25">
      <c r="A193" s="8">
        <v>43455</v>
      </c>
      <c r="B193" s="4">
        <v>156.86000100000001</v>
      </c>
      <c r="C193" s="4">
        <v>158.16000399999999</v>
      </c>
      <c r="D193" s="4">
        <v>149.63000500000001</v>
      </c>
      <c r="E193" s="4">
        <v>150.729996</v>
      </c>
      <c r="F193" s="4">
        <v>150.08630400000001</v>
      </c>
      <c r="G193" s="11">
        <v>95744600</v>
      </c>
      <c r="H193" s="3">
        <f>(AAPL[[#This Row],[Close]]-E192)/E192</f>
        <v>-3.8895657222525616E-2</v>
      </c>
    </row>
    <row r="194" spans="1:8" x14ac:dyDescent="0.25">
      <c r="A194" s="8">
        <v>43458</v>
      </c>
      <c r="B194" s="4">
        <v>148.14999399999999</v>
      </c>
      <c r="C194" s="4">
        <v>151.550003</v>
      </c>
      <c r="D194" s="4">
        <v>146.58999600000001</v>
      </c>
      <c r="E194" s="4">
        <v>146.83000200000001</v>
      </c>
      <c r="F194" s="4">
        <v>146.20297199999999</v>
      </c>
      <c r="G194" s="11">
        <v>37169200</v>
      </c>
      <c r="H194" s="3">
        <f>(AAPL[[#This Row],[Close]]-E193)/E193</f>
        <v>-2.5874040360221281E-2</v>
      </c>
    </row>
    <row r="195" spans="1:8" x14ac:dyDescent="0.25">
      <c r="A195" s="8">
        <v>43460</v>
      </c>
      <c r="B195" s="4">
        <v>148.300003</v>
      </c>
      <c r="C195" s="4">
        <v>157.229996</v>
      </c>
      <c r="D195" s="4">
        <v>146.720001</v>
      </c>
      <c r="E195" s="4">
        <v>157.16999799999999</v>
      </c>
      <c r="F195" s="4">
        <v>156.49880999999999</v>
      </c>
      <c r="G195" s="11">
        <v>58582500</v>
      </c>
      <c r="H195" s="3">
        <f>(AAPL[[#This Row],[Close]]-E194)/E194</f>
        <v>7.0421547770597892E-2</v>
      </c>
    </row>
    <row r="196" spans="1:8" x14ac:dyDescent="0.25">
      <c r="A196" s="8">
        <v>43461</v>
      </c>
      <c r="B196" s="4">
        <v>155.83999600000001</v>
      </c>
      <c r="C196" s="4">
        <v>156.770004</v>
      </c>
      <c r="D196" s="4">
        <v>150.070007</v>
      </c>
      <c r="E196" s="4">
        <v>156.14999399999999</v>
      </c>
      <c r="F196" s="4">
        <v>155.48315400000001</v>
      </c>
      <c r="G196" s="11">
        <v>53117100</v>
      </c>
      <c r="H196" s="3">
        <f>(AAPL[[#This Row],[Close]]-E195)/E195</f>
        <v>-6.4898136602381338E-3</v>
      </c>
    </row>
    <row r="197" spans="1:8" x14ac:dyDescent="0.25">
      <c r="A197" s="8">
        <v>43462</v>
      </c>
      <c r="B197" s="4">
        <v>157.5</v>
      </c>
      <c r="C197" s="4">
        <v>158.520004</v>
      </c>
      <c r="D197" s="4">
        <v>154.550003</v>
      </c>
      <c r="E197" s="4">
        <v>156.229996</v>
      </c>
      <c r="F197" s="4">
        <v>155.56281999999999</v>
      </c>
      <c r="G197" s="11">
        <v>42291400</v>
      </c>
      <c r="H197" s="3">
        <f>(AAPL[[#This Row],[Close]]-E196)/E196</f>
        <v>5.123407177332806E-4</v>
      </c>
    </row>
    <row r="198" spans="1:8" x14ac:dyDescent="0.25">
      <c r="A198" s="8">
        <v>43465</v>
      </c>
      <c r="B198" s="4">
        <v>158.529999</v>
      </c>
      <c r="C198" s="4">
        <v>159.36000100000001</v>
      </c>
      <c r="D198" s="4">
        <v>156.479996</v>
      </c>
      <c r="E198" s="4">
        <v>157.740005</v>
      </c>
      <c r="F198" s="4">
        <v>157.06637599999999</v>
      </c>
      <c r="G198" s="11">
        <v>35003500</v>
      </c>
      <c r="H198" s="3">
        <f>(AAPL[[#This Row],[Close]]-E197)/E197</f>
        <v>9.6652950051921947E-3</v>
      </c>
    </row>
    <row r="199" spans="1:8" x14ac:dyDescent="0.25">
      <c r="A199" s="8">
        <v>43467</v>
      </c>
      <c r="B199" s="4">
        <v>154.88999899999999</v>
      </c>
      <c r="C199" s="4">
        <v>158.85000600000001</v>
      </c>
      <c r="D199" s="4">
        <v>154.229996</v>
      </c>
      <c r="E199" s="4">
        <v>157.91999799999999</v>
      </c>
      <c r="F199" s="4">
        <v>157.24560500000001</v>
      </c>
      <c r="G199" s="11">
        <v>37039700</v>
      </c>
      <c r="H199" s="3">
        <f>(AAPL[[#This Row],[Close]]-E198)/E198</f>
        <v>1.1410738829379147E-3</v>
      </c>
    </row>
    <row r="200" spans="1:8" x14ac:dyDescent="0.25">
      <c r="A200" s="8">
        <v>43468</v>
      </c>
      <c r="B200" s="4">
        <v>143.979996</v>
      </c>
      <c r="C200" s="4">
        <v>145.720001</v>
      </c>
      <c r="D200" s="4">
        <v>142</v>
      </c>
      <c r="E200" s="4">
        <v>142.19000199999999</v>
      </c>
      <c r="F200" s="4">
        <v>141.58277899999999</v>
      </c>
      <c r="G200" s="11">
        <v>91312200</v>
      </c>
      <c r="H200" s="3">
        <f>(AAPL[[#This Row],[Close]]-E199)/E199</f>
        <v>-9.9607372082160237E-2</v>
      </c>
    </row>
    <row r="201" spans="1:8" x14ac:dyDescent="0.25">
      <c r="A201" s="8">
        <v>43469</v>
      </c>
      <c r="B201" s="4">
        <v>144.529999</v>
      </c>
      <c r="C201" s="4">
        <v>148.550003</v>
      </c>
      <c r="D201" s="4">
        <v>143.800003</v>
      </c>
      <c r="E201" s="4">
        <v>148.259995</v>
      </c>
      <c r="F201" s="4">
        <v>147.626846</v>
      </c>
      <c r="G201" s="11">
        <v>58607100</v>
      </c>
      <c r="H201" s="3">
        <f>(AAPL[[#This Row],[Close]]-E200)/E200</f>
        <v>4.2689309477610182E-2</v>
      </c>
    </row>
    <row r="202" spans="1:8" x14ac:dyDescent="0.25">
      <c r="A202" s="8">
        <v>43472</v>
      </c>
      <c r="B202" s="4">
        <v>148.699997</v>
      </c>
      <c r="C202" s="4">
        <v>148.83000200000001</v>
      </c>
      <c r="D202" s="4">
        <v>145.89999399999999</v>
      </c>
      <c r="E202" s="4">
        <v>147.929993</v>
      </c>
      <c r="F202" s="4">
        <v>147.29826399999999</v>
      </c>
      <c r="G202" s="11">
        <v>54777800</v>
      </c>
      <c r="H202" s="3">
        <f>(AAPL[[#This Row],[Close]]-E201)/E201</f>
        <v>-2.2258330711531957E-3</v>
      </c>
    </row>
    <row r="203" spans="1:8" x14ac:dyDescent="0.25">
      <c r="A203" s="8">
        <v>43473</v>
      </c>
      <c r="B203" s="4">
        <v>149.55999800000001</v>
      </c>
      <c r="C203" s="4">
        <v>151.820007</v>
      </c>
      <c r="D203" s="4">
        <v>148.520004</v>
      </c>
      <c r="E203" s="4">
        <v>150.75</v>
      </c>
      <c r="F203" s="4">
        <v>150.10621599999999</v>
      </c>
      <c r="G203" s="11">
        <v>41025300</v>
      </c>
      <c r="H203" s="3">
        <f>(AAPL[[#This Row],[Close]]-E202)/E202</f>
        <v>1.9063118592860369E-2</v>
      </c>
    </row>
    <row r="204" spans="1:8" x14ac:dyDescent="0.25">
      <c r="A204" s="8">
        <v>43474</v>
      </c>
      <c r="B204" s="4">
        <v>151.28999300000001</v>
      </c>
      <c r="C204" s="4">
        <v>154.529999</v>
      </c>
      <c r="D204" s="4">
        <v>149.63000500000001</v>
      </c>
      <c r="E204" s="4">
        <v>153.30999800000001</v>
      </c>
      <c r="F204" s="4">
        <v>152.65528900000001</v>
      </c>
      <c r="G204" s="11">
        <v>45099100</v>
      </c>
      <c r="H204" s="3">
        <f>(AAPL[[#This Row],[Close]]-E203)/E203</f>
        <v>1.6981744610281971E-2</v>
      </c>
    </row>
    <row r="205" spans="1:8" x14ac:dyDescent="0.25">
      <c r="A205" s="8">
        <v>43475</v>
      </c>
      <c r="B205" s="4">
        <v>152.5</v>
      </c>
      <c r="C205" s="4">
        <v>153.970001</v>
      </c>
      <c r="D205" s="4">
        <v>150.86000100000001</v>
      </c>
      <c r="E205" s="4">
        <v>153.800003</v>
      </c>
      <c r="F205" s="4">
        <v>153.143204</v>
      </c>
      <c r="G205" s="11">
        <v>35780700</v>
      </c>
      <c r="H205" s="3">
        <f>(AAPL[[#This Row],[Close]]-E204)/E204</f>
        <v>3.1961711981758453E-3</v>
      </c>
    </row>
    <row r="206" spans="1:8" x14ac:dyDescent="0.25">
      <c r="A206" s="8">
        <v>43476</v>
      </c>
      <c r="B206" s="4">
        <v>152.88000500000001</v>
      </c>
      <c r="C206" s="4">
        <v>153.699997</v>
      </c>
      <c r="D206" s="4">
        <v>151.509995</v>
      </c>
      <c r="E206" s="4">
        <v>152.28999300000001</v>
      </c>
      <c r="F206" s="4">
        <v>151.639633</v>
      </c>
      <c r="G206" s="11">
        <v>27023200</v>
      </c>
      <c r="H206" s="3">
        <f>(AAPL[[#This Row],[Close]]-E205)/E205</f>
        <v>-9.8180102116122454E-3</v>
      </c>
    </row>
    <row r="207" spans="1:8" x14ac:dyDescent="0.25">
      <c r="A207" s="8">
        <v>43479</v>
      </c>
      <c r="B207" s="4">
        <v>150.85000600000001</v>
      </c>
      <c r="C207" s="4">
        <v>151.270004</v>
      </c>
      <c r="D207" s="4">
        <v>149.220001</v>
      </c>
      <c r="E207" s="4">
        <v>150</v>
      </c>
      <c r="F207" s="4">
        <v>149.359421</v>
      </c>
      <c r="G207" s="11">
        <v>32439200</v>
      </c>
      <c r="H207" s="3">
        <f>(AAPL[[#This Row],[Close]]-E206)/E206</f>
        <v>-1.5037054995465196E-2</v>
      </c>
    </row>
    <row r="208" spans="1:8" x14ac:dyDescent="0.25">
      <c r="A208" s="8">
        <v>43480</v>
      </c>
      <c r="B208" s="4">
        <v>150.270004</v>
      </c>
      <c r="C208" s="4">
        <v>153.38999899999999</v>
      </c>
      <c r="D208" s="4">
        <v>150.050003</v>
      </c>
      <c r="E208" s="4">
        <v>153.070007</v>
      </c>
      <c r="F208" s="4">
        <v>152.41632100000001</v>
      </c>
      <c r="G208" s="11">
        <v>28710900</v>
      </c>
      <c r="H208" s="3">
        <f>(AAPL[[#This Row],[Close]]-E207)/E207</f>
        <v>2.0466713333333358E-2</v>
      </c>
    </row>
    <row r="209" spans="1:8" x14ac:dyDescent="0.25">
      <c r="A209" s="8">
        <v>43481</v>
      </c>
      <c r="B209" s="4">
        <v>153.08000200000001</v>
      </c>
      <c r="C209" s="4">
        <v>155.88000500000001</v>
      </c>
      <c r="D209" s="4">
        <v>153</v>
      </c>
      <c r="E209" s="4">
        <v>154.94000199999999</v>
      </c>
      <c r="F209" s="4">
        <v>154.278336</v>
      </c>
      <c r="G209" s="11">
        <v>30569700</v>
      </c>
      <c r="H209" s="3">
        <f>(AAPL[[#This Row],[Close]]-E208)/E208</f>
        <v>1.2216599689578564E-2</v>
      </c>
    </row>
    <row r="210" spans="1:8" x14ac:dyDescent="0.25">
      <c r="A210" s="8">
        <v>43482</v>
      </c>
      <c r="B210" s="4">
        <v>154.199997</v>
      </c>
      <c r="C210" s="4">
        <v>157.66000399999999</v>
      </c>
      <c r="D210" s="4">
        <v>153.259995</v>
      </c>
      <c r="E210" s="4">
        <v>155.86000100000001</v>
      </c>
      <c r="F210" s="4">
        <v>155.19439700000001</v>
      </c>
      <c r="G210" s="11">
        <v>29821200</v>
      </c>
      <c r="H210" s="3">
        <f>(AAPL[[#This Row],[Close]]-E209)/E209</f>
        <v>5.9377758366107323E-3</v>
      </c>
    </row>
    <row r="211" spans="1:8" x14ac:dyDescent="0.25">
      <c r="A211" s="8">
        <v>43483</v>
      </c>
      <c r="B211" s="4">
        <v>157.5</v>
      </c>
      <c r="C211" s="4">
        <v>157.88000500000001</v>
      </c>
      <c r="D211" s="4">
        <v>155.979996</v>
      </c>
      <c r="E211" s="4">
        <v>156.820007</v>
      </c>
      <c r="F211" s="4">
        <v>156.15031400000001</v>
      </c>
      <c r="G211" s="11">
        <v>33751000</v>
      </c>
      <c r="H211" s="3">
        <f>(AAPL[[#This Row],[Close]]-E210)/E210</f>
        <v>6.1594122535646124E-3</v>
      </c>
    </row>
    <row r="212" spans="1:8" x14ac:dyDescent="0.25">
      <c r="A212" s="8">
        <v>43487</v>
      </c>
      <c r="B212" s="4">
        <v>156.41000399999999</v>
      </c>
      <c r="C212" s="4">
        <v>156.729996</v>
      </c>
      <c r="D212" s="4">
        <v>152.61999499999999</v>
      </c>
      <c r="E212" s="4">
        <v>153.300003</v>
      </c>
      <c r="F212" s="4">
        <v>152.64534</v>
      </c>
      <c r="G212" s="11">
        <v>30394000</v>
      </c>
      <c r="H212" s="3">
        <f>(AAPL[[#This Row],[Close]]-E211)/E211</f>
        <v>-2.2446141071783016E-2</v>
      </c>
    </row>
    <row r="213" spans="1:8" x14ac:dyDescent="0.25">
      <c r="A213" s="8">
        <v>43488</v>
      </c>
      <c r="B213" s="4">
        <v>154.14999399999999</v>
      </c>
      <c r="C213" s="4">
        <v>155.13999899999999</v>
      </c>
      <c r="D213" s="4">
        <v>151.699997</v>
      </c>
      <c r="E213" s="4">
        <v>153.91999799999999</v>
      </c>
      <c r="F213" s="4">
        <v>153.26267999999999</v>
      </c>
      <c r="G213" s="11">
        <v>23130600</v>
      </c>
      <c r="H213" s="3">
        <f>(AAPL[[#This Row],[Close]]-E212)/E212</f>
        <v>4.0443247740835908E-3</v>
      </c>
    </row>
    <row r="214" spans="1:8" x14ac:dyDescent="0.25">
      <c r="A214" s="8">
        <v>43489</v>
      </c>
      <c r="B214" s="4">
        <v>154.11000100000001</v>
      </c>
      <c r="C214" s="4">
        <v>154.479996</v>
      </c>
      <c r="D214" s="4">
        <v>151.740005</v>
      </c>
      <c r="E214" s="4">
        <v>152.699997</v>
      </c>
      <c r="F214" s="4">
        <v>152.04789700000001</v>
      </c>
      <c r="G214" s="11">
        <v>25441500</v>
      </c>
      <c r="H214" s="3">
        <f>(AAPL[[#This Row],[Close]]-E213)/E213</f>
        <v>-7.9262020260680906E-3</v>
      </c>
    </row>
    <row r="215" spans="1:8" x14ac:dyDescent="0.25">
      <c r="A215" s="8">
        <v>43490</v>
      </c>
      <c r="B215" s="4">
        <v>155.479996</v>
      </c>
      <c r="C215" s="4">
        <v>158.13000500000001</v>
      </c>
      <c r="D215" s="4">
        <v>154.320007</v>
      </c>
      <c r="E215" s="4">
        <v>157.759995</v>
      </c>
      <c r="F215" s="4">
        <v>157.086288</v>
      </c>
      <c r="G215" s="11">
        <v>33535500</v>
      </c>
      <c r="H215" s="3">
        <f>(AAPL[[#This Row],[Close]]-E214)/E214</f>
        <v>3.3136857232551269E-2</v>
      </c>
    </row>
    <row r="216" spans="1:8" x14ac:dyDescent="0.25">
      <c r="A216" s="8">
        <v>43493</v>
      </c>
      <c r="B216" s="4">
        <v>155.78999300000001</v>
      </c>
      <c r="C216" s="4">
        <v>156.33000200000001</v>
      </c>
      <c r="D216" s="4">
        <v>153.66000399999999</v>
      </c>
      <c r="E216" s="4">
        <v>156.300003</v>
      </c>
      <c r="F216" s="4">
        <v>155.63252299999999</v>
      </c>
      <c r="G216" s="11">
        <v>26192100</v>
      </c>
      <c r="H216" s="3">
        <f>(AAPL[[#This Row],[Close]]-E215)/E215</f>
        <v>-9.2545134778940618E-3</v>
      </c>
    </row>
    <row r="217" spans="1:8" x14ac:dyDescent="0.25">
      <c r="A217" s="8">
        <v>43494</v>
      </c>
      <c r="B217" s="4">
        <v>156.25</v>
      </c>
      <c r="C217" s="4">
        <v>158.13000500000001</v>
      </c>
      <c r="D217" s="4">
        <v>154.11000100000001</v>
      </c>
      <c r="E217" s="4">
        <v>154.679993</v>
      </c>
      <c r="F217" s="4">
        <v>154.01944</v>
      </c>
      <c r="G217" s="11">
        <v>41587200</v>
      </c>
      <c r="H217" s="3">
        <f>(AAPL[[#This Row],[Close]]-E216)/E216</f>
        <v>-1.0364747081930687E-2</v>
      </c>
    </row>
    <row r="218" spans="1:8" x14ac:dyDescent="0.25">
      <c r="A218" s="8">
        <v>43495</v>
      </c>
      <c r="B218" s="4">
        <v>163.25</v>
      </c>
      <c r="C218" s="4">
        <v>166.14999399999999</v>
      </c>
      <c r="D218" s="4">
        <v>160.229996</v>
      </c>
      <c r="E218" s="4">
        <v>165.25</v>
      </c>
      <c r="F218" s="4">
        <v>164.544296</v>
      </c>
      <c r="G218" s="11">
        <v>61109800</v>
      </c>
      <c r="H218" s="3">
        <f>(AAPL[[#This Row],[Close]]-E217)/E217</f>
        <v>6.833467467250276E-2</v>
      </c>
    </row>
    <row r="219" spans="1:8" x14ac:dyDescent="0.25">
      <c r="A219" s="8">
        <v>43496</v>
      </c>
      <c r="B219" s="4">
        <v>166.11000100000001</v>
      </c>
      <c r="C219" s="4">
        <v>169</v>
      </c>
      <c r="D219" s="4">
        <v>164.55999800000001</v>
      </c>
      <c r="E219" s="4">
        <v>166.44000199999999</v>
      </c>
      <c r="F219" s="4">
        <v>165.729218</v>
      </c>
      <c r="G219" s="11">
        <v>40739600</v>
      </c>
      <c r="H219" s="3">
        <f>(AAPL[[#This Row],[Close]]-E218)/E218</f>
        <v>7.201222390317656E-3</v>
      </c>
    </row>
    <row r="220" spans="1:8" x14ac:dyDescent="0.25">
      <c r="A220" s="8">
        <v>43497</v>
      </c>
      <c r="B220" s="4">
        <v>166.96000699999999</v>
      </c>
      <c r="C220" s="4">
        <v>168.979996</v>
      </c>
      <c r="D220" s="4">
        <v>165.929993</v>
      </c>
      <c r="E220" s="4">
        <v>166.520004</v>
      </c>
      <c r="F220" s="4">
        <v>165.80888400000001</v>
      </c>
      <c r="G220" s="11">
        <v>32668100</v>
      </c>
      <c r="H220" s="3">
        <f>(AAPL[[#This Row],[Close]]-E219)/E219</f>
        <v>4.806656995834899E-4</v>
      </c>
    </row>
    <row r="221" spans="1:8" x14ac:dyDescent="0.25">
      <c r="A221" s="8">
        <v>43500</v>
      </c>
      <c r="B221" s="4">
        <v>167.41000399999999</v>
      </c>
      <c r="C221" s="4">
        <v>171.66000399999999</v>
      </c>
      <c r="D221" s="4">
        <v>167.279999</v>
      </c>
      <c r="E221" s="4">
        <v>171.25</v>
      </c>
      <c r="F221" s="4">
        <v>170.518677</v>
      </c>
      <c r="G221" s="11">
        <v>31495500</v>
      </c>
      <c r="H221" s="3">
        <f>(AAPL[[#This Row],[Close]]-E220)/E220</f>
        <v>2.8404971693370844E-2</v>
      </c>
    </row>
    <row r="222" spans="1:8" x14ac:dyDescent="0.25">
      <c r="A222" s="8">
        <v>43501</v>
      </c>
      <c r="B222" s="4">
        <v>172.86000100000001</v>
      </c>
      <c r="C222" s="4">
        <v>175.08000200000001</v>
      </c>
      <c r="D222" s="4">
        <v>172.35000600000001</v>
      </c>
      <c r="E222" s="4">
        <v>174.179993</v>
      </c>
      <c r="F222" s="4">
        <v>173.43615700000001</v>
      </c>
      <c r="G222" s="11">
        <v>36101600</v>
      </c>
      <c r="H222" s="3">
        <f>(AAPL[[#This Row],[Close]]-E221)/E221</f>
        <v>1.7109448175182458E-2</v>
      </c>
    </row>
    <row r="223" spans="1:8" x14ac:dyDescent="0.25">
      <c r="A223" s="8">
        <v>43502</v>
      </c>
      <c r="B223" s="4">
        <v>174.64999399999999</v>
      </c>
      <c r="C223" s="4">
        <v>175.570007</v>
      </c>
      <c r="D223" s="4">
        <v>172.85000600000001</v>
      </c>
      <c r="E223" s="4">
        <v>174.240005</v>
      </c>
      <c r="F223" s="4">
        <v>173.49591100000001</v>
      </c>
      <c r="G223" s="11">
        <v>28239600</v>
      </c>
      <c r="H223" s="3">
        <f>(AAPL[[#This Row],[Close]]-E222)/E222</f>
        <v>3.445401447455587E-4</v>
      </c>
    </row>
    <row r="224" spans="1:8" x14ac:dyDescent="0.25">
      <c r="A224" s="8">
        <v>43503</v>
      </c>
      <c r="B224" s="4">
        <v>172.39999399999999</v>
      </c>
      <c r="C224" s="4">
        <v>173.94000199999999</v>
      </c>
      <c r="D224" s="4">
        <v>170.33999600000001</v>
      </c>
      <c r="E224" s="4">
        <v>170.94000199999999</v>
      </c>
      <c r="F224" s="4">
        <v>170.21000699999999</v>
      </c>
      <c r="G224" s="11">
        <v>31741700</v>
      </c>
      <c r="H224" s="3">
        <f>(AAPL[[#This Row],[Close]]-E223)/E223</f>
        <v>-1.8939410613538515E-2</v>
      </c>
    </row>
    <row r="225" spans="1:8" x14ac:dyDescent="0.25">
      <c r="A225" s="8">
        <v>43504</v>
      </c>
      <c r="B225" s="4">
        <v>168.990005</v>
      </c>
      <c r="C225" s="4">
        <v>170.66000399999999</v>
      </c>
      <c r="D225" s="4">
        <v>168.41999799999999</v>
      </c>
      <c r="E225" s="4">
        <v>170.41000399999999</v>
      </c>
      <c r="F225" s="4">
        <v>170.41000399999999</v>
      </c>
      <c r="G225" s="11">
        <v>23820000</v>
      </c>
      <c r="H225" s="3">
        <f>(AAPL[[#This Row],[Close]]-E224)/E224</f>
        <v>-3.1004913642156515E-3</v>
      </c>
    </row>
    <row r="226" spans="1:8" x14ac:dyDescent="0.25">
      <c r="A226" s="8">
        <v>43507</v>
      </c>
      <c r="B226" s="4">
        <v>171.050003</v>
      </c>
      <c r="C226" s="4">
        <v>171.21000699999999</v>
      </c>
      <c r="D226" s="4">
        <v>169.25</v>
      </c>
      <c r="E226" s="4">
        <v>169.429993</v>
      </c>
      <c r="F226" s="4">
        <v>169.429993</v>
      </c>
      <c r="G226" s="11">
        <v>20993400</v>
      </c>
      <c r="H226" s="3">
        <f>(AAPL[[#This Row],[Close]]-E225)/E225</f>
        <v>-5.7509006337444282E-3</v>
      </c>
    </row>
    <row r="227" spans="1:8" x14ac:dyDescent="0.25">
      <c r="A227" s="8">
        <v>43508</v>
      </c>
      <c r="B227" s="4">
        <v>170.10000600000001</v>
      </c>
      <c r="C227" s="4">
        <v>171</v>
      </c>
      <c r="D227" s="4">
        <v>169.699997</v>
      </c>
      <c r="E227" s="4">
        <v>170.88999899999999</v>
      </c>
      <c r="F227" s="4">
        <v>170.88999899999999</v>
      </c>
      <c r="G227" s="11">
        <v>22283500</v>
      </c>
      <c r="H227" s="3">
        <f>(AAPL[[#This Row],[Close]]-E226)/E226</f>
        <v>8.6171637863432654E-3</v>
      </c>
    </row>
    <row r="228" spans="1:8" x14ac:dyDescent="0.25">
      <c r="A228" s="8">
        <v>43509</v>
      </c>
      <c r="B228" s="4">
        <v>171.38999899999999</v>
      </c>
      <c r="C228" s="4">
        <v>172.479996</v>
      </c>
      <c r="D228" s="4">
        <v>169.91999799999999</v>
      </c>
      <c r="E228" s="4">
        <v>170.179993</v>
      </c>
      <c r="F228" s="4">
        <v>170.179993</v>
      </c>
      <c r="G228" s="11">
        <v>22490200</v>
      </c>
      <c r="H228" s="3">
        <f>(AAPL[[#This Row],[Close]]-E227)/E227</f>
        <v>-4.154754544764161E-3</v>
      </c>
    </row>
    <row r="229" spans="1:8" x14ac:dyDescent="0.25">
      <c r="A229" s="8">
        <v>43510</v>
      </c>
      <c r="B229" s="4">
        <v>169.71000699999999</v>
      </c>
      <c r="C229" s="4">
        <v>171.259995</v>
      </c>
      <c r="D229" s="4">
        <v>169.38000500000001</v>
      </c>
      <c r="E229" s="4">
        <v>170.800003</v>
      </c>
      <c r="F229" s="4">
        <v>170.800003</v>
      </c>
      <c r="G229" s="11">
        <v>21835700</v>
      </c>
      <c r="H229" s="3">
        <f>(AAPL[[#This Row],[Close]]-E228)/E228</f>
        <v>3.6432602274229014E-3</v>
      </c>
    </row>
    <row r="230" spans="1:8" x14ac:dyDescent="0.25">
      <c r="A230" s="8">
        <v>43511</v>
      </c>
      <c r="B230" s="4">
        <v>171.25</v>
      </c>
      <c r="C230" s="4">
        <v>171.699997</v>
      </c>
      <c r="D230" s="4">
        <v>169.75</v>
      </c>
      <c r="E230" s="4">
        <v>170.41999799999999</v>
      </c>
      <c r="F230" s="4">
        <v>170.41999799999999</v>
      </c>
      <c r="G230" s="11">
        <v>24626800</v>
      </c>
      <c r="H230" s="3">
        <f>(AAPL[[#This Row],[Close]]-E229)/E229</f>
        <v>-2.2248535908984219E-3</v>
      </c>
    </row>
    <row r="231" spans="1:8" x14ac:dyDescent="0.25">
      <c r="A231" s="8">
        <v>43515</v>
      </c>
      <c r="B231" s="4">
        <v>169.71000699999999</v>
      </c>
      <c r="C231" s="4">
        <v>171.44000199999999</v>
      </c>
      <c r="D231" s="4">
        <v>169.490005</v>
      </c>
      <c r="E231" s="4">
        <v>170.929993</v>
      </c>
      <c r="F231" s="4">
        <v>170.929993</v>
      </c>
      <c r="G231" s="11">
        <v>18972800</v>
      </c>
      <c r="H231" s="3">
        <f>(AAPL[[#This Row],[Close]]-E230)/E230</f>
        <v>2.9925771974249381E-3</v>
      </c>
    </row>
    <row r="232" spans="1:8" x14ac:dyDescent="0.25">
      <c r="A232" s="8">
        <v>43516</v>
      </c>
      <c r="B232" s="4">
        <v>171.19000199999999</v>
      </c>
      <c r="C232" s="4">
        <v>173.320007</v>
      </c>
      <c r="D232" s="4">
        <v>170.990005</v>
      </c>
      <c r="E232" s="4">
        <v>172.029999</v>
      </c>
      <c r="F232" s="4">
        <v>172.029999</v>
      </c>
      <c r="G232" s="11">
        <v>26114400</v>
      </c>
      <c r="H232" s="3">
        <f>(AAPL[[#This Row],[Close]]-E231)/E231</f>
        <v>6.4354182709175419E-3</v>
      </c>
    </row>
    <row r="233" spans="1:8" x14ac:dyDescent="0.25">
      <c r="A233" s="8">
        <v>43517</v>
      </c>
      <c r="B233" s="4">
        <v>171.800003</v>
      </c>
      <c r="C233" s="4">
        <v>172.36999499999999</v>
      </c>
      <c r="D233" s="4">
        <v>170.300003</v>
      </c>
      <c r="E233" s="4">
        <v>171.05999800000001</v>
      </c>
      <c r="F233" s="4">
        <v>171.05999800000001</v>
      </c>
      <c r="G233" s="11">
        <v>17249700</v>
      </c>
      <c r="H233" s="3">
        <f>(AAPL[[#This Row],[Close]]-E232)/E232</f>
        <v>-5.638557261166968E-3</v>
      </c>
    </row>
    <row r="234" spans="1:8" x14ac:dyDescent="0.25">
      <c r="A234" s="8">
        <v>43518</v>
      </c>
      <c r="B234" s="4">
        <v>171.58000200000001</v>
      </c>
      <c r="C234" s="4">
        <v>173</v>
      </c>
      <c r="D234" s="4">
        <v>171.38000500000001</v>
      </c>
      <c r="E234" s="4">
        <v>172.970001</v>
      </c>
      <c r="F234" s="4">
        <v>172.970001</v>
      </c>
      <c r="G234" s="11">
        <v>18913200</v>
      </c>
      <c r="H234" s="3">
        <f>(AAPL[[#This Row],[Close]]-E233)/E233</f>
        <v>1.1165690531575879E-2</v>
      </c>
    </row>
    <row r="235" spans="1:8" x14ac:dyDescent="0.25">
      <c r="A235" s="8">
        <v>43521</v>
      </c>
      <c r="B235" s="4">
        <v>174.16000399999999</v>
      </c>
      <c r="C235" s="4">
        <v>175.86999499999999</v>
      </c>
      <c r="D235" s="4">
        <v>173.949997</v>
      </c>
      <c r="E235" s="4">
        <v>174.229996</v>
      </c>
      <c r="F235" s="4">
        <v>174.229996</v>
      </c>
      <c r="G235" s="11">
        <v>21873400</v>
      </c>
      <c r="H235" s="3">
        <f>(AAPL[[#This Row],[Close]]-E234)/E234</f>
        <v>7.2844712534863403E-3</v>
      </c>
    </row>
    <row r="236" spans="1:8" x14ac:dyDescent="0.25">
      <c r="A236" s="8">
        <v>43522</v>
      </c>
      <c r="B236" s="4">
        <v>173.71000699999999</v>
      </c>
      <c r="C236" s="4">
        <v>175.300003</v>
      </c>
      <c r="D236" s="4">
        <v>173.16999799999999</v>
      </c>
      <c r="E236" s="4">
        <v>174.33000200000001</v>
      </c>
      <c r="F236" s="4">
        <v>174.33000200000001</v>
      </c>
      <c r="G236" s="11">
        <v>17070200</v>
      </c>
      <c r="H236" s="3">
        <f>(AAPL[[#This Row],[Close]]-E235)/E235</f>
        <v>5.7398841930758919E-4</v>
      </c>
    </row>
    <row r="237" spans="1:8" x14ac:dyDescent="0.25">
      <c r="A237" s="8">
        <v>43523</v>
      </c>
      <c r="B237" s="4">
        <v>173.21000699999999</v>
      </c>
      <c r="C237" s="4">
        <v>175</v>
      </c>
      <c r="D237" s="4">
        <v>172.729996</v>
      </c>
      <c r="E237" s="4">
        <v>174.86999499999999</v>
      </c>
      <c r="F237" s="4">
        <v>174.86999499999999</v>
      </c>
      <c r="G237" s="11">
        <v>27835400</v>
      </c>
      <c r="H237" s="3">
        <f>(AAPL[[#This Row],[Close]]-E236)/E236</f>
        <v>3.0975333781042536E-3</v>
      </c>
    </row>
    <row r="238" spans="1:8" x14ac:dyDescent="0.25">
      <c r="A238" s="8">
        <v>43524</v>
      </c>
      <c r="B238" s="4">
        <v>174.320007</v>
      </c>
      <c r="C238" s="4">
        <v>174.91000399999999</v>
      </c>
      <c r="D238" s="4">
        <v>172.91999799999999</v>
      </c>
      <c r="E238" s="4">
        <v>173.14999399999999</v>
      </c>
      <c r="F238" s="4">
        <v>173.14999399999999</v>
      </c>
      <c r="G238" s="11">
        <v>28215400</v>
      </c>
      <c r="H238" s="3">
        <f>(AAPL[[#This Row],[Close]]-E237)/E237</f>
        <v>-9.8358840806279917E-3</v>
      </c>
    </row>
    <row r="239" spans="1:8" x14ac:dyDescent="0.25">
      <c r="A239" s="8">
        <v>43525</v>
      </c>
      <c r="B239" s="4">
        <v>174.279999</v>
      </c>
      <c r="C239" s="4">
        <v>175.14999399999999</v>
      </c>
      <c r="D239" s="4">
        <v>172.88999899999999</v>
      </c>
      <c r="E239" s="4">
        <v>174.970001</v>
      </c>
      <c r="F239" s="4">
        <v>174.970001</v>
      </c>
      <c r="G239" s="11">
        <v>25886200</v>
      </c>
      <c r="H239" s="3">
        <f>(AAPL[[#This Row],[Close]]-E238)/E238</f>
        <v>1.0511158319762945E-2</v>
      </c>
    </row>
    <row r="240" spans="1:8" x14ac:dyDescent="0.25">
      <c r="A240" s="8">
        <v>43528</v>
      </c>
      <c r="B240" s="4">
        <v>175.69000199999999</v>
      </c>
      <c r="C240" s="4">
        <v>177.75</v>
      </c>
      <c r="D240" s="4">
        <v>173.970001</v>
      </c>
      <c r="E240" s="4">
        <v>175.85000600000001</v>
      </c>
      <c r="F240" s="4">
        <v>175.85000600000001</v>
      </c>
      <c r="G240" s="11">
        <v>27436200</v>
      </c>
      <c r="H240" s="3">
        <f>(AAPL[[#This Row],[Close]]-E239)/E239</f>
        <v>5.0294621647742422E-3</v>
      </c>
    </row>
    <row r="241" spans="1:8" x14ac:dyDescent="0.25">
      <c r="A241" s="8">
        <v>43529</v>
      </c>
      <c r="B241" s="4">
        <v>175.94000199999999</v>
      </c>
      <c r="C241" s="4">
        <v>176</v>
      </c>
      <c r="D241" s="4">
        <v>174.53999300000001</v>
      </c>
      <c r="E241" s="4">
        <v>175.529999</v>
      </c>
      <c r="F241" s="4">
        <v>175.529999</v>
      </c>
      <c r="G241" s="11">
        <v>19737400</v>
      </c>
      <c r="H241" s="3">
        <f>(AAPL[[#This Row],[Close]]-E240)/E240</f>
        <v>-1.8197724713185618E-3</v>
      </c>
    </row>
    <row r="242" spans="1:8" x14ac:dyDescent="0.25">
      <c r="A242" s="8">
        <v>43530</v>
      </c>
      <c r="B242" s="4">
        <v>174.66999799999999</v>
      </c>
      <c r="C242" s="4">
        <v>175.490005</v>
      </c>
      <c r="D242" s="4">
        <v>173.94000199999999</v>
      </c>
      <c r="E242" s="4">
        <v>174.520004</v>
      </c>
      <c r="F242" s="4">
        <v>174.520004</v>
      </c>
      <c r="G242" s="11">
        <v>20810400</v>
      </c>
      <c r="H242" s="3">
        <f>(AAPL[[#This Row],[Close]]-E241)/E241</f>
        <v>-5.7539737124934608E-3</v>
      </c>
    </row>
    <row r="243" spans="1:8" x14ac:dyDescent="0.25">
      <c r="A243" s="8">
        <v>43531</v>
      </c>
      <c r="B243" s="4">
        <v>173.86999499999999</v>
      </c>
      <c r="C243" s="4">
        <v>174.44000199999999</v>
      </c>
      <c r="D243" s="4">
        <v>172.020004</v>
      </c>
      <c r="E243" s="4">
        <v>172.5</v>
      </c>
      <c r="F243" s="4">
        <v>172.5</v>
      </c>
      <c r="G243" s="11">
        <v>24796400</v>
      </c>
      <c r="H243" s="3">
        <f>(AAPL[[#This Row],[Close]]-E242)/E242</f>
        <v>-1.1574627284560457E-2</v>
      </c>
    </row>
    <row r="244" spans="1:8" x14ac:dyDescent="0.25">
      <c r="A244" s="8">
        <v>43532</v>
      </c>
      <c r="B244" s="4">
        <v>170.320007</v>
      </c>
      <c r="C244" s="4">
        <v>173.070007</v>
      </c>
      <c r="D244" s="4">
        <v>169.5</v>
      </c>
      <c r="E244" s="4">
        <v>172.91000399999999</v>
      </c>
      <c r="F244" s="4">
        <v>172.91000399999999</v>
      </c>
      <c r="G244" s="11">
        <v>23999400</v>
      </c>
      <c r="H244" s="3">
        <f>(AAPL[[#This Row],[Close]]-E243)/E243</f>
        <v>2.3768347826086172E-3</v>
      </c>
    </row>
    <row r="245" spans="1:8" x14ac:dyDescent="0.25">
      <c r="A245" s="8">
        <v>43535</v>
      </c>
      <c r="B245" s="4">
        <v>175.490005</v>
      </c>
      <c r="C245" s="4">
        <v>179.11999499999999</v>
      </c>
      <c r="D245" s="4">
        <v>175.35000600000001</v>
      </c>
      <c r="E245" s="4">
        <v>178.89999399999999</v>
      </c>
      <c r="F245" s="4">
        <v>178.89999399999999</v>
      </c>
      <c r="G245" s="11">
        <v>32011000</v>
      </c>
      <c r="H245" s="3">
        <f>(AAPL[[#This Row],[Close]]-E244)/E244</f>
        <v>3.4642240827199369E-2</v>
      </c>
    </row>
    <row r="246" spans="1:8" x14ac:dyDescent="0.25">
      <c r="A246" s="8">
        <v>43536</v>
      </c>
      <c r="B246" s="4">
        <v>180</v>
      </c>
      <c r="C246" s="4">
        <v>182.66999799999999</v>
      </c>
      <c r="D246" s="4">
        <v>179.36999499999999</v>
      </c>
      <c r="E246" s="4">
        <v>180.91000399999999</v>
      </c>
      <c r="F246" s="4">
        <v>180.91000399999999</v>
      </c>
      <c r="G246" s="11">
        <v>32467600</v>
      </c>
      <c r="H246" s="3">
        <f>(AAPL[[#This Row],[Close]]-E245)/E245</f>
        <v>1.1235383272287836E-2</v>
      </c>
    </row>
    <row r="247" spans="1:8" x14ac:dyDescent="0.25">
      <c r="A247" s="8">
        <v>43537</v>
      </c>
      <c r="B247" s="4">
        <v>182.25</v>
      </c>
      <c r="C247" s="4">
        <v>183.300003</v>
      </c>
      <c r="D247" s="4">
        <v>180.91999799999999</v>
      </c>
      <c r="E247" s="4">
        <v>181.71000699999999</v>
      </c>
      <c r="F247" s="4">
        <v>181.71000699999999</v>
      </c>
      <c r="G247" s="11">
        <v>31032500</v>
      </c>
      <c r="H247" s="3">
        <f>(AAPL[[#This Row],[Close]]-E246)/E246</f>
        <v>4.4221048162709888E-3</v>
      </c>
    </row>
    <row r="248" spans="1:8" x14ac:dyDescent="0.25">
      <c r="A248" s="8">
        <v>43538</v>
      </c>
      <c r="B248" s="4">
        <v>183.89999399999999</v>
      </c>
      <c r="C248" s="4">
        <v>184.10000600000001</v>
      </c>
      <c r="D248" s="4">
        <v>182.55999800000001</v>
      </c>
      <c r="E248" s="4">
        <v>183.729996</v>
      </c>
      <c r="F248" s="4">
        <v>183.729996</v>
      </c>
      <c r="G248" s="11">
        <v>23579500</v>
      </c>
      <c r="H248" s="3">
        <f>(AAPL[[#This Row],[Close]]-E247)/E247</f>
        <v>1.1116553421298419E-2</v>
      </c>
    </row>
    <row r="249" spans="1:8" x14ac:dyDescent="0.25">
      <c r="A249" s="8">
        <v>43539</v>
      </c>
      <c r="B249" s="4">
        <v>184.85000600000001</v>
      </c>
      <c r="C249" s="4">
        <v>187.33000200000001</v>
      </c>
      <c r="D249" s="4">
        <v>183.740005</v>
      </c>
      <c r="E249" s="4">
        <v>186.11999499999999</v>
      </c>
      <c r="F249" s="4">
        <v>186.11999499999999</v>
      </c>
      <c r="G249" s="11">
        <v>39042900</v>
      </c>
      <c r="H249" s="3">
        <f>(AAPL[[#This Row],[Close]]-E248)/E248</f>
        <v>1.3008213422047802E-2</v>
      </c>
    </row>
    <row r="250" spans="1:8" x14ac:dyDescent="0.25">
      <c r="A250" s="8">
        <v>43542</v>
      </c>
      <c r="B250" s="4">
        <v>185.800003</v>
      </c>
      <c r="C250" s="4">
        <v>188.38999899999999</v>
      </c>
      <c r="D250" s="4">
        <v>185.78999300000001</v>
      </c>
      <c r="E250" s="4">
        <v>188.020004</v>
      </c>
      <c r="F250" s="4">
        <v>188.020004</v>
      </c>
      <c r="G250" s="11">
        <v>26219800</v>
      </c>
      <c r="H250" s="3">
        <f>(AAPL[[#This Row],[Close]]-E249)/E249</f>
        <v>1.0208516285421196E-2</v>
      </c>
    </row>
    <row r="251" spans="1:8" x14ac:dyDescent="0.25">
      <c r="A251" s="8">
        <v>43543</v>
      </c>
      <c r="B251" s="4">
        <v>188.35000600000001</v>
      </c>
      <c r="C251" s="4">
        <v>188.990005</v>
      </c>
      <c r="D251" s="4">
        <v>185.91999799999999</v>
      </c>
      <c r="E251" s="4">
        <v>186.529999</v>
      </c>
      <c r="F251" s="4">
        <v>186.529999</v>
      </c>
      <c r="G251" s="11">
        <v>31646400</v>
      </c>
      <c r="H251" s="3">
        <f>(AAPL[[#This Row],[Close]]-E250)/E250</f>
        <v>-7.9247152872095276E-3</v>
      </c>
    </row>
    <row r="252" spans="1:8" x14ac:dyDescent="0.25">
      <c r="A252" s="8">
        <v>43544</v>
      </c>
      <c r="B252" s="4">
        <v>186.229996</v>
      </c>
      <c r="C252" s="4">
        <v>189.490005</v>
      </c>
      <c r="D252" s="4">
        <v>184.729996</v>
      </c>
      <c r="E252" s="4">
        <v>188.16000399999999</v>
      </c>
      <c r="F252" s="4">
        <v>188.16000399999999</v>
      </c>
      <c r="G252" s="11">
        <v>31035200</v>
      </c>
      <c r="H252" s="3">
        <f>(AAPL[[#This Row],[Close]]-E251)/E251</f>
        <v>8.7385675694984736E-3</v>
      </c>
    </row>
    <row r="253" spans="1:8" x14ac:dyDescent="0.25">
      <c r="A253" s="8">
        <v>43545</v>
      </c>
      <c r="B253" s="4">
        <v>190.020004</v>
      </c>
      <c r="C253" s="4">
        <v>196.33000200000001</v>
      </c>
      <c r="D253" s="4">
        <v>189.80999800000001</v>
      </c>
      <c r="E253" s="4">
        <v>195.08999600000001</v>
      </c>
      <c r="F253" s="4">
        <v>195.08999600000001</v>
      </c>
      <c r="G253" s="11">
        <v>51034200</v>
      </c>
      <c r="H253" s="3">
        <f>(AAPL[[#This Row],[Close]]-E252)/E252</f>
        <v>3.6830313842893134E-2</v>
      </c>
    </row>
    <row r="254" spans="1:8" x14ac:dyDescent="0.25">
      <c r="A254" s="8">
        <v>43546</v>
      </c>
      <c r="B254" s="4">
        <v>195.33999600000001</v>
      </c>
      <c r="C254" s="4">
        <v>197.69000199999999</v>
      </c>
      <c r="D254" s="4">
        <v>190.779999</v>
      </c>
      <c r="E254" s="4">
        <v>191.050003</v>
      </c>
      <c r="F254" s="4">
        <v>191.050003</v>
      </c>
      <c r="G254" s="11">
        <v>42359300</v>
      </c>
      <c r="H254" s="3">
        <f>(AAPL[[#This Row],[Close]]-E253)/E253</f>
        <v>-2.0708355542741461E-2</v>
      </c>
    </row>
  </sheetData>
  <mergeCells count="4">
    <mergeCell ref="A1:D1"/>
    <mergeCell ref="A2:D2"/>
    <mergeCell ref="E1:H1"/>
    <mergeCell ref="E2:H2"/>
  </mergeCells>
  <conditionalFormatting sqref="A6:H254">
    <cfRule type="expression" dxfId="82" priority="3">
      <formula>$H6&lt;=SMALL($H:$H,5)</formula>
    </cfRule>
    <cfRule type="expression" dxfId="81" priority="4">
      <formula>$H6&gt;=LARGE($H:$H,5)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4"/>
  <sheetViews>
    <sheetView topLeftCell="A217" workbookViewId="0">
      <selection activeCell="A4" sqref="A4"/>
    </sheetView>
  </sheetViews>
  <sheetFormatPr defaultRowHeight="15" x14ac:dyDescent="0.25"/>
  <cols>
    <col min="1" max="1" width="16.5703125" customWidth="1"/>
    <col min="2" max="2" width="13.85546875" customWidth="1"/>
    <col min="3" max="4" width="12" customWidth="1"/>
    <col min="5" max="5" width="12.42578125" customWidth="1"/>
    <col min="6" max="6" width="14" customWidth="1"/>
    <col min="7" max="7" width="15" customWidth="1"/>
    <col min="8" max="8" width="21.42578125" customWidth="1"/>
  </cols>
  <sheetData>
    <row r="1" spans="1:8" ht="30" customHeight="1" thickBot="1" x14ac:dyDescent="0.3">
      <c r="A1" s="40" t="s">
        <v>29</v>
      </c>
      <c r="B1" s="40"/>
      <c r="C1" s="40"/>
      <c r="D1" s="41"/>
      <c r="E1" s="47" t="s">
        <v>32</v>
      </c>
      <c r="F1" s="47"/>
      <c r="G1" s="47"/>
      <c r="H1" s="47"/>
    </row>
    <row r="2" spans="1:8" ht="30" customHeight="1" thickBot="1" x14ac:dyDescent="0.3">
      <c r="A2" s="42" t="s">
        <v>5</v>
      </c>
      <c r="B2" s="42"/>
      <c r="C2" s="42"/>
      <c r="D2" s="43"/>
      <c r="E2" s="47" t="s">
        <v>33</v>
      </c>
      <c r="F2" s="47"/>
      <c r="G2" s="47"/>
      <c r="H2" s="47"/>
    </row>
    <row r="3" spans="1:8" x14ac:dyDescent="0.25">
      <c r="A3" s="13"/>
      <c r="B3" s="14"/>
      <c r="C3" s="13"/>
      <c r="D3" s="14"/>
      <c r="E3" s="14"/>
      <c r="F3" s="14"/>
      <c r="G3" s="13"/>
    </row>
    <row r="4" spans="1:8" ht="30" customHeight="1" x14ac:dyDescent="0.25">
      <c r="A4" s="9" t="s">
        <v>0</v>
      </c>
      <c r="B4" s="9" t="s">
        <v>1</v>
      </c>
      <c r="C4" s="9" t="s">
        <v>2</v>
      </c>
      <c r="D4" s="9" t="s">
        <v>3</v>
      </c>
      <c r="E4" s="9" t="s">
        <v>9</v>
      </c>
      <c r="F4" s="9" t="s">
        <v>28</v>
      </c>
      <c r="G4" s="9" t="s">
        <v>10</v>
      </c>
      <c r="H4" s="10" t="s">
        <v>4</v>
      </c>
    </row>
    <row r="5" spans="1:8" x14ac:dyDescent="0.25">
      <c r="A5" s="8">
        <v>43185</v>
      </c>
      <c r="B5" s="4">
        <v>10.71</v>
      </c>
      <c r="C5" s="4">
        <v>10.8</v>
      </c>
      <c r="D5" s="4">
        <v>10.18</v>
      </c>
      <c r="E5" s="4">
        <v>10.44</v>
      </c>
      <c r="F5" s="4">
        <v>10.44</v>
      </c>
      <c r="G5" s="11">
        <v>75878500</v>
      </c>
      <c r="H5" s="3" t="s">
        <v>11</v>
      </c>
    </row>
    <row r="6" spans="1:8" x14ac:dyDescent="0.25">
      <c r="A6" s="8">
        <v>43186</v>
      </c>
      <c r="B6" s="4">
        <v>10.51</v>
      </c>
      <c r="C6" s="4">
        <v>10.59</v>
      </c>
      <c r="D6" s="4">
        <v>9.9</v>
      </c>
      <c r="E6" s="4">
        <v>10</v>
      </c>
      <c r="F6" s="4">
        <v>10</v>
      </c>
      <c r="G6" s="11">
        <v>68551300</v>
      </c>
      <c r="H6" s="3">
        <f>(AMD[[#This Row],[Close]]-E5)/E5</f>
        <v>-4.2145593869731754E-2</v>
      </c>
    </row>
    <row r="7" spans="1:8" x14ac:dyDescent="0.25">
      <c r="A7" s="8">
        <v>43187</v>
      </c>
      <c r="B7" s="4">
        <v>9.99</v>
      </c>
      <c r="C7" s="4">
        <v>10.17</v>
      </c>
      <c r="D7" s="4">
        <v>9.7899999999999991</v>
      </c>
      <c r="E7" s="4">
        <v>9.81</v>
      </c>
      <c r="F7" s="4">
        <v>9.81</v>
      </c>
      <c r="G7" s="11">
        <v>64832100</v>
      </c>
      <c r="H7" s="3">
        <f>(AMD[[#This Row],[Close]]-E6)/E6</f>
        <v>-1.8999999999999951E-2</v>
      </c>
    </row>
    <row r="8" spans="1:8" x14ac:dyDescent="0.25">
      <c r="A8" s="8">
        <v>43188</v>
      </c>
      <c r="B8" s="4">
        <v>9.94</v>
      </c>
      <c r="C8" s="4">
        <v>10.08</v>
      </c>
      <c r="D8" s="4">
        <v>9.81</v>
      </c>
      <c r="E8" s="4">
        <v>10.050000000000001</v>
      </c>
      <c r="F8" s="4">
        <v>10.050000000000001</v>
      </c>
      <c r="G8" s="11">
        <v>48681400</v>
      </c>
      <c r="H8" s="3">
        <f>(AMD[[#This Row],[Close]]-E7)/E7</f>
        <v>2.4464831804281367E-2</v>
      </c>
    </row>
    <row r="9" spans="1:8" x14ac:dyDescent="0.25">
      <c r="A9" s="8">
        <v>43192</v>
      </c>
      <c r="B9" s="4">
        <v>9.99</v>
      </c>
      <c r="C9" s="4">
        <v>10.14</v>
      </c>
      <c r="D9" s="4">
        <v>9.51</v>
      </c>
      <c r="E9" s="4">
        <v>9.5299999999999994</v>
      </c>
      <c r="F9" s="4">
        <v>9.5299999999999994</v>
      </c>
      <c r="G9" s="11">
        <v>64824600</v>
      </c>
      <c r="H9" s="3">
        <f>(AMD[[#This Row],[Close]]-E8)/E8</f>
        <v>-5.1741293532338438E-2</v>
      </c>
    </row>
    <row r="10" spans="1:8" x14ac:dyDescent="0.25">
      <c r="A10" s="8">
        <v>43193</v>
      </c>
      <c r="B10" s="4">
        <v>9.6300000000000008</v>
      </c>
      <c r="C10" s="4">
        <v>9.77</v>
      </c>
      <c r="D10" s="4">
        <v>9.3000000000000007</v>
      </c>
      <c r="E10" s="4">
        <v>9.5500000000000007</v>
      </c>
      <c r="F10" s="4">
        <v>9.5500000000000007</v>
      </c>
      <c r="G10" s="11">
        <v>54891600</v>
      </c>
      <c r="H10" s="3">
        <f>(AMD[[#This Row],[Close]]-E9)/E9</f>
        <v>2.098635886673804E-3</v>
      </c>
    </row>
    <row r="11" spans="1:8" x14ac:dyDescent="0.25">
      <c r="A11" s="8">
        <v>43194</v>
      </c>
      <c r="B11" s="4">
        <v>9.08</v>
      </c>
      <c r="C11" s="4">
        <v>9.81</v>
      </c>
      <c r="D11" s="4">
        <v>9.0399999999999991</v>
      </c>
      <c r="E11" s="4">
        <v>9.77</v>
      </c>
      <c r="F11" s="4">
        <v>9.77</v>
      </c>
      <c r="G11" s="11">
        <v>67356900</v>
      </c>
      <c r="H11" s="3">
        <f>(AMD[[#This Row],[Close]]-E10)/E10</f>
        <v>2.3036649214659564E-2</v>
      </c>
    </row>
    <row r="12" spans="1:8" x14ac:dyDescent="0.25">
      <c r="A12" s="8">
        <v>43195</v>
      </c>
      <c r="B12" s="4">
        <v>10.050000000000001</v>
      </c>
      <c r="C12" s="4">
        <v>10.199999999999999</v>
      </c>
      <c r="D12" s="4">
        <v>9.91</v>
      </c>
      <c r="E12" s="4">
        <v>10.02</v>
      </c>
      <c r="F12" s="4">
        <v>10.02</v>
      </c>
      <c r="G12" s="11">
        <v>65758800</v>
      </c>
      <c r="H12" s="3">
        <f>(AMD[[#This Row],[Close]]-E11)/E11</f>
        <v>2.5588536335721598E-2</v>
      </c>
    </row>
    <row r="13" spans="1:8" x14ac:dyDescent="0.25">
      <c r="A13" s="8">
        <v>43196</v>
      </c>
      <c r="B13" s="4">
        <v>9.83</v>
      </c>
      <c r="C13" s="4">
        <v>10.1</v>
      </c>
      <c r="D13" s="4">
        <v>9.5</v>
      </c>
      <c r="E13" s="4">
        <v>9.61</v>
      </c>
      <c r="F13" s="4">
        <v>9.61</v>
      </c>
      <c r="G13" s="11">
        <v>51087100</v>
      </c>
      <c r="H13" s="3">
        <f>(AMD[[#This Row],[Close]]-E12)/E12</f>
        <v>-4.0918163672654703E-2</v>
      </c>
    </row>
    <row r="14" spans="1:8" x14ac:dyDescent="0.25">
      <c r="A14" s="8">
        <v>43199</v>
      </c>
      <c r="B14" s="4">
        <v>9.75</v>
      </c>
      <c r="C14" s="4">
        <v>9.84</v>
      </c>
      <c r="D14" s="4">
        <v>9.52</v>
      </c>
      <c r="E14" s="4">
        <v>9.5299999999999994</v>
      </c>
      <c r="F14" s="4">
        <v>9.5299999999999994</v>
      </c>
      <c r="G14" s="11">
        <v>38382600</v>
      </c>
      <c r="H14" s="3">
        <f>(AMD[[#This Row],[Close]]-E13)/E13</f>
        <v>-8.3246618106139515E-3</v>
      </c>
    </row>
    <row r="15" spans="1:8" x14ac:dyDescent="0.25">
      <c r="A15" s="8">
        <v>43200</v>
      </c>
      <c r="B15" s="4">
        <v>9.75</v>
      </c>
      <c r="C15" s="4">
        <v>10.039999999999999</v>
      </c>
      <c r="D15" s="4">
        <v>9.7100000000000009</v>
      </c>
      <c r="E15" s="4">
        <v>9.98</v>
      </c>
      <c r="F15" s="4">
        <v>9.98</v>
      </c>
      <c r="G15" s="11">
        <v>42849200</v>
      </c>
      <c r="H15" s="3">
        <f>(AMD[[#This Row],[Close]]-E14)/E14</f>
        <v>4.7219307450157511E-2</v>
      </c>
    </row>
    <row r="16" spans="1:8" x14ac:dyDescent="0.25">
      <c r="A16" s="8">
        <v>43201</v>
      </c>
      <c r="B16" s="4">
        <v>9.8699999999999992</v>
      </c>
      <c r="C16" s="4">
        <v>10.029999999999999</v>
      </c>
      <c r="D16" s="4">
        <v>9.7899999999999991</v>
      </c>
      <c r="E16" s="4">
        <v>9.82</v>
      </c>
      <c r="F16" s="4">
        <v>9.82</v>
      </c>
      <c r="G16" s="11">
        <v>29169300</v>
      </c>
      <c r="H16" s="3">
        <f>(AMD[[#This Row],[Close]]-E15)/E15</f>
        <v>-1.6032064128256526E-2</v>
      </c>
    </row>
    <row r="17" spans="1:8" x14ac:dyDescent="0.25">
      <c r="A17" s="8">
        <v>43202</v>
      </c>
      <c r="B17" s="4">
        <v>9.98</v>
      </c>
      <c r="C17" s="4">
        <v>10.1</v>
      </c>
      <c r="D17" s="4">
        <v>9.82</v>
      </c>
      <c r="E17" s="4">
        <v>10.08</v>
      </c>
      <c r="F17" s="4">
        <v>10.08</v>
      </c>
      <c r="G17" s="11">
        <v>47784400</v>
      </c>
      <c r="H17" s="3">
        <f>(AMD[[#This Row],[Close]]-E16)/E16</f>
        <v>2.6476578411405272E-2</v>
      </c>
    </row>
    <row r="18" spans="1:8" x14ac:dyDescent="0.25">
      <c r="A18" s="8">
        <v>43203</v>
      </c>
      <c r="B18" s="4">
        <v>10.199999999999999</v>
      </c>
      <c r="C18" s="4">
        <v>10.220000000000001</v>
      </c>
      <c r="D18" s="4">
        <v>9.8800000000000008</v>
      </c>
      <c r="E18" s="4">
        <v>9.93</v>
      </c>
      <c r="F18" s="4">
        <v>9.93</v>
      </c>
      <c r="G18" s="11">
        <v>38935700</v>
      </c>
      <c r="H18" s="3">
        <f>(AMD[[#This Row],[Close]]-E17)/E17</f>
        <v>-1.4880952380952417E-2</v>
      </c>
    </row>
    <row r="19" spans="1:8" x14ac:dyDescent="0.25">
      <c r="A19" s="8">
        <v>43206</v>
      </c>
      <c r="B19" s="4">
        <v>10</v>
      </c>
      <c r="C19" s="4">
        <v>10.17</v>
      </c>
      <c r="D19" s="4">
        <v>9.9</v>
      </c>
      <c r="E19" s="4">
        <v>10.09</v>
      </c>
      <c r="F19" s="4">
        <v>10.09</v>
      </c>
      <c r="G19" s="11">
        <v>28875100</v>
      </c>
      <c r="H19" s="3">
        <f>(AMD[[#This Row],[Close]]-E18)/E18</f>
        <v>1.6112789526686822E-2</v>
      </c>
    </row>
    <row r="20" spans="1:8" x14ac:dyDescent="0.25">
      <c r="A20" s="8">
        <v>43207</v>
      </c>
      <c r="B20" s="4">
        <v>10.28</v>
      </c>
      <c r="C20" s="4">
        <v>10.53</v>
      </c>
      <c r="D20" s="4">
        <v>10.199999999999999</v>
      </c>
      <c r="E20" s="4">
        <v>10.52</v>
      </c>
      <c r="F20" s="4">
        <v>10.52</v>
      </c>
      <c r="G20" s="11">
        <v>45360300</v>
      </c>
      <c r="H20" s="3">
        <f>(AMD[[#This Row],[Close]]-E19)/E19</f>
        <v>4.2616451932606512E-2</v>
      </c>
    </row>
    <row r="21" spans="1:8" x14ac:dyDescent="0.25">
      <c r="A21" s="8">
        <v>43208</v>
      </c>
      <c r="B21" s="4">
        <v>10.51</v>
      </c>
      <c r="C21" s="4">
        <v>10.65</v>
      </c>
      <c r="D21" s="4">
        <v>10.33</v>
      </c>
      <c r="E21" s="4">
        <v>10.36</v>
      </c>
      <c r="F21" s="4">
        <v>10.36</v>
      </c>
      <c r="G21" s="11">
        <v>42449600</v>
      </c>
      <c r="H21" s="3">
        <f>(AMD[[#This Row],[Close]]-E20)/E20</f>
        <v>-1.5209125475285185E-2</v>
      </c>
    </row>
    <row r="22" spans="1:8" x14ac:dyDescent="0.25">
      <c r="A22" s="8">
        <v>43209</v>
      </c>
      <c r="B22" s="4">
        <v>10.18</v>
      </c>
      <c r="C22" s="4">
        <v>10.33</v>
      </c>
      <c r="D22" s="4">
        <v>9.99</v>
      </c>
      <c r="E22" s="4">
        <v>10.11</v>
      </c>
      <c r="F22" s="4">
        <v>10.11</v>
      </c>
      <c r="G22" s="11">
        <v>57841600</v>
      </c>
      <c r="H22" s="3">
        <f>(AMD[[#This Row],[Close]]-E21)/E21</f>
        <v>-2.4131274131274132E-2</v>
      </c>
    </row>
    <row r="23" spans="1:8" x14ac:dyDescent="0.25">
      <c r="A23" s="8">
        <v>43210</v>
      </c>
      <c r="B23" s="4">
        <v>10.050000000000001</v>
      </c>
      <c r="C23" s="4">
        <v>10.14</v>
      </c>
      <c r="D23" s="4">
        <v>9.9499999999999993</v>
      </c>
      <c r="E23" s="4">
        <v>9.99</v>
      </c>
      <c r="F23" s="4">
        <v>9.99</v>
      </c>
      <c r="G23" s="11">
        <v>39011900</v>
      </c>
      <c r="H23" s="3">
        <f>(AMD[[#This Row],[Close]]-E22)/E22</f>
        <v>-1.186943620178034E-2</v>
      </c>
    </row>
    <row r="24" spans="1:8" x14ac:dyDescent="0.25">
      <c r="A24" s="8">
        <v>43213</v>
      </c>
      <c r="B24" s="4">
        <v>10.09</v>
      </c>
      <c r="C24" s="4">
        <v>10.19</v>
      </c>
      <c r="D24" s="4">
        <v>9.9700000000000006</v>
      </c>
      <c r="E24" s="4">
        <v>10.039999999999999</v>
      </c>
      <c r="F24" s="4">
        <v>10.039999999999999</v>
      </c>
      <c r="G24" s="11">
        <v>42971300</v>
      </c>
      <c r="H24" s="3">
        <f>(AMD[[#This Row],[Close]]-E23)/E23</f>
        <v>5.0050050050048983E-3</v>
      </c>
    </row>
    <row r="25" spans="1:8" x14ac:dyDescent="0.25">
      <c r="A25" s="8">
        <v>43214</v>
      </c>
      <c r="B25" s="4">
        <v>10.19</v>
      </c>
      <c r="C25" s="4">
        <v>10.35</v>
      </c>
      <c r="D25" s="4">
        <v>9.9499999999999993</v>
      </c>
      <c r="E25" s="4">
        <v>10.09</v>
      </c>
      <c r="F25" s="4">
        <v>10.09</v>
      </c>
      <c r="G25" s="11">
        <v>44992200</v>
      </c>
      <c r="H25" s="3">
        <f>(AMD[[#This Row],[Close]]-E24)/E24</f>
        <v>4.9800796812749714E-3</v>
      </c>
    </row>
    <row r="26" spans="1:8" x14ac:dyDescent="0.25">
      <c r="A26" s="8">
        <v>43215</v>
      </c>
      <c r="B26" s="4">
        <v>10.06</v>
      </c>
      <c r="C26" s="4">
        <v>10.09</v>
      </c>
      <c r="D26" s="4">
        <v>9.56</v>
      </c>
      <c r="E26" s="4">
        <v>9.7100000000000009</v>
      </c>
      <c r="F26" s="4">
        <v>9.7100000000000009</v>
      </c>
      <c r="G26" s="11">
        <v>90578000</v>
      </c>
      <c r="H26" s="3">
        <f>(AMD[[#This Row],[Close]]-E25)/E25</f>
        <v>-3.7661050545094055E-2</v>
      </c>
    </row>
    <row r="27" spans="1:8" x14ac:dyDescent="0.25">
      <c r="A27" s="8">
        <v>43216</v>
      </c>
      <c r="B27" s="4">
        <v>10.87</v>
      </c>
      <c r="C27" s="4">
        <v>11.19</v>
      </c>
      <c r="D27" s="4">
        <v>10.61</v>
      </c>
      <c r="E27" s="4">
        <v>11.04</v>
      </c>
      <c r="F27" s="4">
        <v>11.04</v>
      </c>
      <c r="G27" s="11">
        <v>145284100</v>
      </c>
      <c r="H27" s="3">
        <f>(AMD[[#This Row],[Close]]-E26)/E26</f>
        <v>0.13697219361482987</v>
      </c>
    </row>
    <row r="28" spans="1:8" x14ac:dyDescent="0.25">
      <c r="A28" s="8">
        <v>43217</v>
      </c>
      <c r="B28" s="4">
        <v>11.2</v>
      </c>
      <c r="C28" s="4">
        <v>11.36</v>
      </c>
      <c r="D28" s="4">
        <v>11.02</v>
      </c>
      <c r="E28" s="4">
        <v>11.11</v>
      </c>
      <c r="F28" s="4">
        <v>11.11</v>
      </c>
      <c r="G28" s="11">
        <v>74347800</v>
      </c>
      <c r="H28" s="3">
        <f>(AMD[[#This Row],[Close]]-E27)/E27</f>
        <v>6.340579710144954E-3</v>
      </c>
    </row>
    <row r="29" spans="1:8" x14ac:dyDescent="0.25">
      <c r="A29" s="8">
        <v>43220</v>
      </c>
      <c r="B29" s="4">
        <v>11.06</v>
      </c>
      <c r="C29" s="4">
        <v>11.14</v>
      </c>
      <c r="D29" s="4">
        <v>10.87</v>
      </c>
      <c r="E29" s="4">
        <v>10.88</v>
      </c>
      <c r="F29" s="4">
        <v>10.88</v>
      </c>
      <c r="G29" s="11">
        <v>50608800</v>
      </c>
      <c r="H29" s="3">
        <f>(AMD[[#This Row],[Close]]-E28)/E28</f>
        <v>-2.0702070207020581E-2</v>
      </c>
    </row>
    <row r="30" spans="1:8" x14ac:dyDescent="0.25">
      <c r="A30" s="8">
        <v>43221</v>
      </c>
      <c r="B30" s="4">
        <v>10.83</v>
      </c>
      <c r="C30" s="4">
        <v>11.15</v>
      </c>
      <c r="D30" s="4">
        <v>10.77</v>
      </c>
      <c r="E30" s="4">
        <v>11.13</v>
      </c>
      <c r="F30" s="4">
        <v>11.13</v>
      </c>
      <c r="G30" s="11">
        <v>43441600</v>
      </c>
      <c r="H30" s="3">
        <f>(AMD[[#This Row],[Close]]-E29)/E29</f>
        <v>2.2977941176470586E-2</v>
      </c>
    </row>
    <row r="31" spans="1:8" x14ac:dyDescent="0.25">
      <c r="A31" s="8">
        <v>43222</v>
      </c>
      <c r="B31" s="4">
        <v>11.1</v>
      </c>
      <c r="C31" s="4">
        <v>11.16</v>
      </c>
      <c r="D31" s="4">
        <v>10.97</v>
      </c>
      <c r="E31" s="4">
        <v>10.97</v>
      </c>
      <c r="F31" s="4">
        <v>10.97</v>
      </c>
      <c r="G31" s="11">
        <v>29267300</v>
      </c>
      <c r="H31" s="3">
        <f>(AMD[[#This Row],[Close]]-E30)/E30</f>
        <v>-1.4375561545372877E-2</v>
      </c>
    </row>
    <row r="32" spans="1:8" x14ac:dyDescent="0.25">
      <c r="A32" s="8">
        <v>43223</v>
      </c>
      <c r="B32" s="4">
        <v>10.9</v>
      </c>
      <c r="C32" s="4">
        <v>11.06</v>
      </c>
      <c r="D32" s="4">
        <v>10.83</v>
      </c>
      <c r="E32" s="4">
        <v>10.93</v>
      </c>
      <c r="F32" s="4">
        <v>10.93</v>
      </c>
      <c r="G32" s="11">
        <v>33310600</v>
      </c>
      <c r="H32" s="3">
        <f>(AMD[[#This Row],[Close]]-E31)/E31</f>
        <v>-3.6463081130356356E-3</v>
      </c>
    </row>
    <row r="33" spans="1:8" x14ac:dyDescent="0.25">
      <c r="A33" s="8">
        <v>43224</v>
      </c>
      <c r="B33" s="4">
        <v>10.88</v>
      </c>
      <c r="C33" s="4">
        <v>11.29</v>
      </c>
      <c r="D33" s="4">
        <v>10.87</v>
      </c>
      <c r="E33" s="4">
        <v>11.28</v>
      </c>
      <c r="F33" s="4">
        <v>11.28</v>
      </c>
      <c r="G33" s="11">
        <v>47884900</v>
      </c>
      <c r="H33" s="3">
        <f>(AMD[[#This Row],[Close]]-E32)/E32</f>
        <v>3.2021957913998138E-2</v>
      </c>
    </row>
    <row r="34" spans="1:8" x14ac:dyDescent="0.25">
      <c r="A34" s="8">
        <v>43227</v>
      </c>
      <c r="B34" s="4">
        <v>11.32</v>
      </c>
      <c r="C34" s="4">
        <v>11.68</v>
      </c>
      <c r="D34" s="4">
        <v>11.3</v>
      </c>
      <c r="E34" s="4">
        <v>11.59</v>
      </c>
      <c r="F34" s="4">
        <v>11.59</v>
      </c>
      <c r="G34" s="11">
        <v>54001700</v>
      </c>
      <c r="H34" s="3">
        <f>(AMD[[#This Row],[Close]]-E33)/E33</f>
        <v>2.7482269503546146E-2</v>
      </c>
    </row>
    <row r="35" spans="1:8" x14ac:dyDescent="0.25">
      <c r="A35" s="8">
        <v>43228</v>
      </c>
      <c r="B35" s="4">
        <v>11.49</v>
      </c>
      <c r="C35" s="4">
        <v>11.66</v>
      </c>
      <c r="D35" s="4">
        <v>11.4</v>
      </c>
      <c r="E35" s="4">
        <v>11.61</v>
      </c>
      <c r="F35" s="4">
        <v>11.61</v>
      </c>
      <c r="G35" s="11">
        <v>35218400</v>
      </c>
      <c r="H35" s="3">
        <f>(AMD[[#This Row],[Close]]-E34)/E34</f>
        <v>1.7256255392579442E-3</v>
      </c>
    </row>
    <row r="36" spans="1:8" x14ac:dyDescent="0.25">
      <c r="A36" s="8">
        <v>43229</v>
      </c>
      <c r="B36" s="4">
        <v>11.65</v>
      </c>
      <c r="C36" s="4">
        <v>11.98</v>
      </c>
      <c r="D36" s="4">
        <v>11.57</v>
      </c>
      <c r="E36" s="4">
        <v>11.95</v>
      </c>
      <c r="F36" s="4">
        <v>11.95</v>
      </c>
      <c r="G36" s="11">
        <v>49605700</v>
      </c>
      <c r="H36" s="3">
        <f>(AMD[[#This Row],[Close]]-E35)/E35</f>
        <v>2.9285099052540901E-2</v>
      </c>
    </row>
    <row r="37" spans="1:8" x14ac:dyDescent="0.25">
      <c r="A37" s="8">
        <v>43230</v>
      </c>
      <c r="B37" s="4">
        <v>11.98</v>
      </c>
      <c r="C37" s="4">
        <v>12.18</v>
      </c>
      <c r="D37" s="4">
        <v>11.95</v>
      </c>
      <c r="E37" s="4">
        <v>12.13</v>
      </c>
      <c r="F37" s="4">
        <v>12.13</v>
      </c>
      <c r="G37" s="11">
        <v>49744500</v>
      </c>
      <c r="H37" s="3">
        <f>(AMD[[#This Row],[Close]]-E36)/E36</f>
        <v>1.5062761506276277E-2</v>
      </c>
    </row>
    <row r="38" spans="1:8" x14ac:dyDescent="0.25">
      <c r="A38" s="8">
        <v>43231</v>
      </c>
      <c r="B38" s="4">
        <v>11.89</v>
      </c>
      <c r="C38" s="4">
        <v>12.03</v>
      </c>
      <c r="D38" s="4">
        <v>11.69</v>
      </c>
      <c r="E38" s="4">
        <v>11.95</v>
      </c>
      <c r="F38" s="4">
        <v>11.95</v>
      </c>
      <c r="G38" s="11">
        <v>43863700</v>
      </c>
      <c r="H38" s="3">
        <f>(AMD[[#This Row],[Close]]-E37)/E37</f>
        <v>-1.4839241549876462E-2</v>
      </c>
    </row>
    <row r="39" spans="1:8" x14ac:dyDescent="0.25">
      <c r="A39" s="8">
        <v>43234</v>
      </c>
      <c r="B39" s="4">
        <v>12.14</v>
      </c>
      <c r="C39" s="4">
        <v>12.36</v>
      </c>
      <c r="D39" s="4">
        <v>12.11</v>
      </c>
      <c r="E39" s="4">
        <v>12.23</v>
      </c>
      <c r="F39" s="4">
        <v>12.23</v>
      </c>
      <c r="G39" s="11">
        <v>50263800</v>
      </c>
      <c r="H39" s="3">
        <f>(AMD[[#This Row],[Close]]-E38)/E38</f>
        <v>2.3430962343096332E-2</v>
      </c>
    </row>
    <row r="40" spans="1:8" x14ac:dyDescent="0.25">
      <c r="A40" s="8">
        <v>43235</v>
      </c>
      <c r="B40" s="4">
        <v>12.18</v>
      </c>
      <c r="C40" s="4">
        <v>12.46</v>
      </c>
      <c r="D40" s="4">
        <v>12.16</v>
      </c>
      <c r="E40" s="4">
        <v>12.45</v>
      </c>
      <c r="F40" s="4">
        <v>12.45</v>
      </c>
      <c r="G40" s="11">
        <v>44183200</v>
      </c>
      <c r="H40" s="3">
        <f>(AMD[[#This Row],[Close]]-E39)/E39</f>
        <v>1.7988552739165893E-2</v>
      </c>
    </row>
    <row r="41" spans="1:8" x14ac:dyDescent="0.25">
      <c r="A41" s="8">
        <v>43236</v>
      </c>
      <c r="B41" s="4">
        <v>12.64</v>
      </c>
      <c r="C41" s="4">
        <v>12.98</v>
      </c>
      <c r="D41" s="4">
        <v>12.62</v>
      </c>
      <c r="E41" s="4">
        <v>12.82</v>
      </c>
      <c r="F41" s="4">
        <v>12.82</v>
      </c>
      <c r="G41" s="11">
        <v>73364000</v>
      </c>
      <c r="H41" s="3">
        <f>(AMD[[#This Row],[Close]]-E40)/E40</f>
        <v>2.9718875502008114E-2</v>
      </c>
    </row>
    <row r="42" spans="1:8" x14ac:dyDescent="0.25">
      <c r="A42" s="8">
        <v>43237</v>
      </c>
      <c r="B42" s="4">
        <v>12.79</v>
      </c>
      <c r="C42" s="4">
        <v>12.9</v>
      </c>
      <c r="D42" s="4">
        <v>12.66</v>
      </c>
      <c r="E42" s="4">
        <v>12.82</v>
      </c>
      <c r="F42" s="4">
        <v>12.82</v>
      </c>
      <c r="G42" s="11">
        <v>38692500</v>
      </c>
      <c r="H42" s="3">
        <f>(AMD[[#This Row],[Close]]-E41)/E41</f>
        <v>0</v>
      </c>
    </row>
    <row r="43" spans="1:8" x14ac:dyDescent="0.25">
      <c r="A43" s="8">
        <v>43238</v>
      </c>
      <c r="B43" s="4">
        <v>13.06</v>
      </c>
      <c r="C43" s="4">
        <v>13.26</v>
      </c>
      <c r="D43" s="4">
        <v>12.91</v>
      </c>
      <c r="E43" s="4">
        <v>13</v>
      </c>
      <c r="F43" s="4">
        <v>13</v>
      </c>
      <c r="G43" s="11">
        <v>54063400</v>
      </c>
      <c r="H43" s="3">
        <f>(AMD[[#This Row],[Close]]-E42)/E42</f>
        <v>1.4040561622464877E-2</v>
      </c>
    </row>
    <row r="44" spans="1:8" x14ac:dyDescent="0.25">
      <c r="A44" s="8">
        <v>43241</v>
      </c>
      <c r="B44" s="4">
        <v>13.25</v>
      </c>
      <c r="C44" s="4">
        <v>13.31</v>
      </c>
      <c r="D44" s="4">
        <v>12.88</v>
      </c>
      <c r="E44" s="4">
        <v>12.99</v>
      </c>
      <c r="F44" s="4">
        <v>12.99</v>
      </c>
      <c r="G44" s="11">
        <v>49714200</v>
      </c>
      <c r="H44" s="3">
        <f>(AMD[[#This Row],[Close]]-E43)/E43</f>
        <v>-7.6923076923075286E-4</v>
      </c>
    </row>
    <row r="45" spans="1:8" x14ac:dyDescent="0.25">
      <c r="A45" s="8">
        <v>43242</v>
      </c>
      <c r="B45" s="4">
        <v>13</v>
      </c>
      <c r="C45" s="4">
        <v>13.14</v>
      </c>
      <c r="D45" s="4">
        <v>12.71</v>
      </c>
      <c r="E45" s="4">
        <v>12.98</v>
      </c>
      <c r="F45" s="4">
        <v>12.98</v>
      </c>
      <c r="G45" s="11">
        <v>43267000</v>
      </c>
      <c r="H45" s="3">
        <f>(AMD[[#This Row],[Close]]-E44)/E44</f>
        <v>-7.6982294072361714E-4</v>
      </c>
    </row>
    <row r="46" spans="1:8" x14ac:dyDescent="0.25">
      <c r="A46" s="8">
        <v>43243</v>
      </c>
      <c r="B46" s="4">
        <v>12.93</v>
      </c>
      <c r="C46" s="4">
        <v>13.18</v>
      </c>
      <c r="D46" s="4">
        <v>12.9</v>
      </c>
      <c r="E46" s="4">
        <v>13.1</v>
      </c>
      <c r="F46" s="4">
        <v>13.1</v>
      </c>
      <c r="G46" s="11">
        <v>44388300</v>
      </c>
      <c r="H46" s="3">
        <f>(AMD[[#This Row],[Close]]-E45)/E45</f>
        <v>9.2449922958396935E-3</v>
      </c>
    </row>
    <row r="47" spans="1:8" x14ac:dyDescent="0.25">
      <c r="A47" s="8">
        <v>43244</v>
      </c>
      <c r="B47" s="4">
        <v>13.06</v>
      </c>
      <c r="C47" s="4">
        <v>13.43</v>
      </c>
      <c r="D47" s="4">
        <v>13.03</v>
      </c>
      <c r="E47" s="4">
        <v>13.41</v>
      </c>
      <c r="F47" s="4">
        <v>13.41</v>
      </c>
      <c r="G47" s="11">
        <v>47785700</v>
      </c>
      <c r="H47" s="3">
        <f>(AMD[[#This Row],[Close]]-E46)/E46</f>
        <v>2.3664122137404618E-2</v>
      </c>
    </row>
    <row r="48" spans="1:8" x14ac:dyDescent="0.25">
      <c r="A48" s="8">
        <v>43245</v>
      </c>
      <c r="B48" s="4">
        <v>13.4</v>
      </c>
      <c r="C48" s="4">
        <v>13.72</v>
      </c>
      <c r="D48" s="4">
        <v>13.36</v>
      </c>
      <c r="E48" s="4">
        <v>13.54</v>
      </c>
      <c r="F48" s="4">
        <v>13.54</v>
      </c>
      <c r="G48" s="11">
        <v>43850100</v>
      </c>
      <c r="H48" s="3">
        <f>(AMD[[#This Row],[Close]]-E47)/E47</f>
        <v>9.6942580164055929E-3</v>
      </c>
    </row>
    <row r="49" spans="1:8" x14ac:dyDescent="0.25">
      <c r="A49" s="8">
        <v>43249</v>
      </c>
      <c r="B49" s="4">
        <v>13.45</v>
      </c>
      <c r="C49" s="4">
        <v>13.63</v>
      </c>
      <c r="D49" s="4">
        <v>13.26</v>
      </c>
      <c r="E49" s="4">
        <v>13.36</v>
      </c>
      <c r="F49" s="4">
        <v>13.36</v>
      </c>
      <c r="G49" s="11">
        <v>39578500</v>
      </c>
      <c r="H49" s="3">
        <f>(AMD[[#This Row],[Close]]-E48)/E48</f>
        <v>-1.329394387001475E-2</v>
      </c>
    </row>
    <row r="50" spans="1:8" x14ac:dyDescent="0.25">
      <c r="A50" s="8">
        <v>43250</v>
      </c>
      <c r="B50" s="4">
        <v>13.48</v>
      </c>
      <c r="C50" s="4">
        <v>13.95</v>
      </c>
      <c r="D50" s="4">
        <v>13.48</v>
      </c>
      <c r="E50" s="4">
        <v>13.82</v>
      </c>
      <c r="F50" s="4">
        <v>13.82</v>
      </c>
      <c r="G50" s="11">
        <v>58186400</v>
      </c>
      <c r="H50" s="3">
        <f>(AMD[[#This Row],[Close]]-E49)/E49</f>
        <v>3.4431137724550961E-2</v>
      </c>
    </row>
    <row r="51" spans="1:8" x14ac:dyDescent="0.25">
      <c r="A51" s="8">
        <v>43251</v>
      </c>
      <c r="B51" s="4">
        <v>13.74</v>
      </c>
      <c r="C51" s="4">
        <v>13.93</v>
      </c>
      <c r="D51" s="4">
        <v>13.69</v>
      </c>
      <c r="E51" s="4">
        <v>13.73</v>
      </c>
      <c r="F51" s="4">
        <v>13.73</v>
      </c>
      <c r="G51" s="11">
        <v>46797700</v>
      </c>
      <c r="H51" s="3">
        <f>(AMD[[#This Row],[Close]]-E50)/E50</f>
        <v>-6.5123010130245917E-3</v>
      </c>
    </row>
    <row r="52" spans="1:8" x14ac:dyDescent="0.25">
      <c r="A52" s="8">
        <v>43252</v>
      </c>
      <c r="B52" s="4">
        <v>13.98</v>
      </c>
      <c r="C52" s="4">
        <v>14.4</v>
      </c>
      <c r="D52" s="4">
        <v>13.92</v>
      </c>
      <c r="E52" s="4">
        <v>14.4</v>
      </c>
      <c r="F52" s="4">
        <v>14.4</v>
      </c>
      <c r="G52" s="11">
        <v>71677900</v>
      </c>
      <c r="H52" s="3">
        <f>(AMD[[#This Row],[Close]]-E51)/E51</f>
        <v>4.8798252002913323E-2</v>
      </c>
    </row>
    <row r="53" spans="1:8" x14ac:dyDescent="0.25">
      <c r="A53" s="8">
        <v>43255</v>
      </c>
      <c r="B53" s="4">
        <v>14.76</v>
      </c>
      <c r="C53" s="4">
        <v>14.98</v>
      </c>
      <c r="D53" s="4">
        <v>14.52</v>
      </c>
      <c r="E53" s="4">
        <v>14.85</v>
      </c>
      <c r="F53" s="4">
        <v>14.85</v>
      </c>
      <c r="G53" s="11">
        <v>74546000</v>
      </c>
      <c r="H53" s="3">
        <f>(AMD[[#This Row],[Close]]-E52)/E52</f>
        <v>3.1249999999999951E-2</v>
      </c>
    </row>
    <row r="54" spans="1:8" x14ac:dyDescent="0.25">
      <c r="A54" s="8">
        <v>43256</v>
      </c>
      <c r="B54" s="4">
        <v>14.85</v>
      </c>
      <c r="C54" s="4">
        <v>14.92</v>
      </c>
      <c r="D54" s="4">
        <v>14.63</v>
      </c>
      <c r="E54" s="4">
        <v>14.85</v>
      </c>
      <c r="F54" s="4">
        <v>14.85</v>
      </c>
      <c r="G54" s="11">
        <v>56122700</v>
      </c>
      <c r="H54" s="3">
        <f>(AMD[[#This Row],[Close]]-E53)/E53</f>
        <v>0</v>
      </c>
    </row>
    <row r="55" spans="1:8" x14ac:dyDescent="0.25">
      <c r="A55" s="8">
        <v>43257</v>
      </c>
      <c r="B55" s="4">
        <v>15.07</v>
      </c>
      <c r="C55" s="4">
        <v>15.74</v>
      </c>
      <c r="D55" s="4">
        <v>15.04</v>
      </c>
      <c r="E55" s="4">
        <v>15.67</v>
      </c>
      <c r="F55" s="4">
        <v>15.67</v>
      </c>
      <c r="G55" s="11">
        <v>97089000</v>
      </c>
      <c r="H55" s="3">
        <f>(AMD[[#This Row],[Close]]-E54)/E54</f>
        <v>5.5218855218855237E-2</v>
      </c>
    </row>
    <row r="56" spans="1:8" x14ac:dyDescent="0.25">
      <c r="A56" s="8">
        <v>43258</v>
      </c>
      <c r="B56" s="4">
        <v>15.83</v>
      </c>
      <c r="C56" s="4">
        <v>15.97</v>
      </c>
      <c r="D56" s="4">
        <v>14.85</v>
      </c>
      <c r="E56" s="4">
        <v>14.89</v>
      </c>
      <c r="F56" s="4">
        <v>14.89</v>
      </c>
      <c r="G56" s="11">
        <v>99860300</v>
      </c>
      <c r="H56" s="3">
        <f>(AMD[[#This Row],[Close]]-E55)/E55</f>
        <v>-4.9776643267389876E-2</v>
      </c>
    </row>
    <row r="57" spans="1:8" x14ac:dyDescent="0.25">
      <c r="A57" s="8">
        <v>43259</v>
      </c>
      <c r="B57" s="4">
        <v>14.52</v>
      </c>
      <c r="C57" s="4">
        <v>15.33</v>
      </c>
      <c r="D57" s="4">
        <v>14.31</v>
      </c>
      <c r="E57" s="4">
        <v>15.25</v>
      </c>
      <c r="F57" s="4">
        <v>15.25</v>
      </c>
      <c r="G57" s="11">
        <v>81930500</v>
      </c>
      <c r="H57" s="3">
        <f>(AMD[[#This Row],[Close]]-E56)/E56</f>
        <v>2.4177300201477462E-2</v>
      </c>
    </row>
    <row r="58" spans="1:8" x14ac:dyDescent="0.25">
      <c r="A58" s="8">
        <v>43262</v>
      </c>
      <c r="B58" s="4">
        <v>15.21</v>
      </c>
      <c r="C58" s="4">
        <v>15.89</v>
      </c>
      <c r="D58" s="4">
        <v>15.01</v>
      </c>
      <c r="E58" s="4">
        <v>15.73</v>
      </c>
      <c r="F58" s="4">
        <v>15.73</v>
      </c>
      <c r="G58" s="11">
        <v>80737600</v>
      </c>
      <c r="H58" s="3">
        <f>(AMD[[#This Row],[Close]]-E57)/E57</f>
        <v>3.1475409836065601E-2</v>
      </c>
    </row>
    <row r="59" spans="1:8" x14ac:dyDescent="0.25">
      <c r="A59" s="8">
        <v>43263</v>
      </c>
      <c r="B59" s="4">
        <v>15.84</v>
      </c>
      <c r="C59" s="4">
        <v>15.95</v>
      </c>
      <c r="D59" s="4">
        <v>15.43</v>
      </c>
      <c r="E59" s="4">
        <v>15.85</v>
      </c>
      <c r="F59" s="4">
        <v>15.85</v>
      </c>
      <c r="G59" s="11">
        <v>67002600</v>
      </c>
      <c r="H59" s="3">
        <f>(AMD[[#This Row],[Close]]-E58)/E58</f>
        <v>7.6287349014621244E-3</v>
      </c>
    </row>
    <row r="60" spans="1:8" x14ac:dyDescent="0.25">
      <c r="A60" s="8">
        <v>43264</v>
      </c>
      <c r="B60" s="4">
        <v>15.81</v>
      </c>
      <c r="C60" s="4">
        <v>16.52</v>
      </c>
      <c r="D60" s="4">
        <v>15.78</v>
      </c>
      <c r="E60" s="4">
        <v>16.32</v>
      </c>
      <c r="F60" s="4">
        <v>16.32</v>
      </c>
      <c r="G60" s="11">
        <v>90227300</v>
      </c>
      <c r="H60" s="3">
        <f>(AMD[[#This Row],[Close]]-E59)/E59</f>
        <v>2.9652996845425907E-2</v>
      </c>
    </row>
    <row r="61" spans="1:8" x14ac:dyDescent="0.25">
      <c r="A61" s="8">
        <v>43265</v>
      </c>
      <c r="B61" s="4">
        <v>16.620000999999998</v>
      </c>
      <c r="C61" s="4">
        <v>16.790001</v>
      </c>
      <c r="D61" s="4">
        <v>15.58</v>
      </c>
      <c r="E61" s="4">
        <v>16.25</v>
      </c>
      <c r="F61" s="4">
        <v>16.25</v>
      </c>
      <c r="G61" s="11">
        <v>113048600</v>
      </c>
      <c r="H61" s="3">
        <f>(AMD[[#This Row],[Close]]-E60)/E60</f>
        <v>-4.2892156862745275E-3</v>
      </c>
    </row>
    <row r="62" spans="1:8" x14ac:dyDescent="0.25">
      <c r="A62" s="8">
        <v>43266</v>
      </c>
      <c r="B62" s="4">
        <v>16.059999000000001</v>
      </c>
      <c r="C62" s="4">
        <v>16.52</v>
      </c>
      <c r="D62" s="4">
        <v>15.82</v>
      </c>
      <c r="E62" s="4">
        <v>16.34</v>
      </c>
      <c r="F62" s="4">
        <v>16.34</v>
      </c>
      <c r="G62" s="11">
        <v>77612200</v>
      </c>
      <c r="H62" s="3">
        <f>(AMD[[#This Row],[Close]]-E61)/E61</f>
        <v>5.5384615384615294E-3</v>
      </c>
    </row>
    <row r="63" spans="1:8" x14ac:dyDescent="0.25">
      <c r="A63" s="8">
        <v>43269</v>
      </c>
      <c r="B63" s="4">
        <v>16.18</v>
      </c>
      <c r="C63" s="4">
        <v>17.34</v>
      </c>
      <c r="D63" s="4">
        <v>16.129999000000002</v>
      </c>
      <c r="E63" s="4">
        <v>17.110001</v>
      </c>
      <c r="F63" s="4">
        <v>17.110001</v>
      </c>
      <c r="G63" s="11">
        <v>104317400</v>
      </c>
      <c r="H63" s="3">
        <f>(AMD[[#This Row],[Close]]-E62)/E62</f>
        <v>4.7123684210526352E-2</v>
      </c>
    </row>
    <row r="64" spans="1:8" x14ac:dyDescent="0.25">
      <c r="A64" s="8">
        <v>43270</v>
      </c>
      <c r="B64" s="4">
        <v>16.850000000000001</v>
      </c>
      <c r="C64" s="4">
        <v>17.290001</v>
      </c>
      <c r="D64" s="4">
        <v>16.309999000000001</v>
      </c>
      <c r="E64" s="4">
        <v>16.690000999999999</v>
      </c>
      <c r="F64" s="4">
        <v>16.690000999999999</v>
      </c>
      <c r="G64" s="11">
        <v>92542900</v>
      </c>
      <c r="H64" s="3">
        <f>(AMD[[#This Row],[Close]]-E63)/E63</f>
        <v>-2.4547047074982738E-2</v>
      </c>
    </row>
    <row r="65" spans="1:8" x14ac:dyDescent="0.25">
      <c r="A65" s="8">
        <v>43271</v>
      </c>
      <c r="B65" s="4">
        <v>16.829999999999998</v>
      </c>
      <c r="C65" s="4">
        <v>17.129999000000002</v>
      </c>
      <c r="D65" s="4">
        <v>16.370000999999998</v>
      </c>
      <c r="E65" s="4">
        <v>16.52</v>
      </c>
      <c r="F65" s="4">
        <v>16.52</v>
      </c>
      <c r="G65" s="11">
        <v>76280600</v>
      </c>
      <c r="H65" s="3">
        <f>(AMD[[#This Row],[Close]]-E64)/E64</f>
        <v>-1.0185799269874172E-2</v>
      </c>
    </row>
    <row r="66" spans="1:8" x14ac:dyDescent="0.25">
      <c r="A66" s="8">
        <v>43272</v>
      </c>
      <c r="B66" s="4">
        <v>16.649999999999999</v>
      </c>
      <c r="C66" s="4">
        <v>16.870000999999998</v>
      </c>
      <c r="D66" s="4">
        <v>15.46</v>
      </c>
      <c r="E66" s="4">
        <v>15.65</v>
      </c>
      <c r="F66" s="4">
        <v>15.65</v>
      </c>
      <c r="G66" s="11">
        <v>95638400</v>
      </c>
      <c r="H66" s="3">
        <f>(AMD[[#This Row],[Close]]-E65)/E65</f>
        <v>-5.2663438256658548E-2</v>
      </c>
    </row>
    <row r="67" spans="1:8" x14ac:dyDescent="0.25">
      <c r="A67" s="8">
        <v>43273</v>
      </c>
      <c r="B67" s="4">
        <v>15.78</v>
      </c>
      <c r="C67" s="4">
        <v>15.91</v>
      </c>
      <c r="D67" s="4">
        <v>15.56</v>
      </c>
      <c r="E67" s="4">
        <v>15.8</v>
      </c>
      <c r="F67" s="4">
        <v>15.8</v>
      </c>
      <c r="G67" s="11">
        <v>59257100</v>
      </c>
      <c r="H67" s="3">
        <f>(AMD[[#This Row],[Close]]-E66)/E66</f>
        <v>9.5846645367412362E-3</v>
      </c>
    </row>
    <row r="68" spans="1:8" x14ac:dyDescent="0.25">
      <c r="A68" s="8">
        <v>43276</v>
      </c>
      <c r="B68" s="4">
        <v>15.64</v>
      </c>
      <c r="C68" s="4">
        <v>15.74</v>
      </c>
      <c r="D68" s="4">
        <v>14.54</v>
      </c>
      <c r="E68" s="4">
        <v>15.11</v>
      </c>
      <c r="F68" s="4">
        <v>15.11</v>
      </c>
      <c r="G68" s="11">
        <v>94418400</v>
      </c>
      <c r="H68" s="3">
        <f>(AMD[[#This Row],[Close]]-E67)/E67</f>
        <v>-4.3670886075949447E-2</v>
      </c>
    </row>
    <row r="69" spans="1:8" x14ac:dyDescent="0.25">
      <c r="A69" s="8">
        <v>43277</v>
      </c>
      <c r="B69" s="4">
        <v>15.32</v>
      </c>
      <c r="C69" s="4">
        <v>15.6</v>
      </c>
      <c r="D69" s="4">
        <v>15.1</v>
      </c>
      <c r="E69" s="4">
        <v>15.5</v>
      </c>
      <c r="F69" s="4">
        <v>15.5</v>
      </c>
      <c r="G69" s="11">
        <v>54213500</v>
      </c>
      <c r="H69" s="3">
        <f>(AMD[[#This Row],[Close]]-E68)/E68</f>
        <v>2.5810721376571845E-2</v>
      </c>
    </row>
    <row r="70" spans="1:8" x14ac:dyDescent="0.25">
      <c r="A70" s="8">
        <v>43278</v>
      </c>
      <c r="B70" s="4">
        <v>15.65</v>
      </c>
      <c r="C70" s="4">
        <v>15.76</v>
      </c>
      <c r="D70" s="4">
        <v>14.96</v>
      </c>
      <c r="E70" s="4">
        <v>14.97</v>
      </c>
      <c r="F70" s="4">
        <v>14.97</v>
      </c>
      <c r="G70" s="11">
        <v>56014300</v>
      </c>
      <c r="H70" s="3">
        <f>(AMD[[#This Row],[Close]]-E69)/E69</f>
        <v>-3.4193548387096734E-2</v>
      </c>
    </row>
    <row r="71" spans="1:8" x14ac:dyDescent="0.25">
      <c r="A71" s="8">
        <v>43279</v>
      </c>
      <c r="B71" s="4">
        <v>14.85</v>
      </c>
      <c r="C71" s="4">
        <v>15.36</v>
      </c>
      <c r="D71" s="4">
        <v>14.75</v>
      </c>
      <c r="E71" s="4">
        <v>15.31</v>
      </c>
      <c r="F71" s="4">
        <v>15.31</v>
      </c>
      <c r="G71" s="11">
        <v>48716800</v>
      </c>
      <c r="H71" s="3">
        <f>(AMD[[#This Row],[Close]]-E70)/E70</f>
        <v>2.2712090848363384E-2</v>
      </c>
    </row>
    <row r="72" spans="1:8" x14ac:dyDescent="0.25">
      <c r="A72" s="8">
        <v>43280</v>
      </c>
      <c r="B72" s="4">
        <v>15.41</v>
      </c>
      <c r="C72" s="4">
        <v>15.49</v>
      </c>
      <c r="D72" s="4">
        <v>14.98</v>
      </c>
      <c r="E72" s="4">
        <v>14.99</v>
      </c>
      <c r="F72" s="4">
        <v>14.99</v>
      </c>
      <c r="G72" s="11">
        <v>41527800</v>
      </c>
      <c r="H72" s="3">
        <f>(AMD[[#This Row],[Close]]-E71)/E71</f>
        <v>-2.0901371652514714E-2</v>
      </c>
    </row>
    <row r="73" spans="1:8" x14ac:dyDescent="0.25">
      <c r="A73" s="8">
        <v>43283</v>
      </c>
      <c r="B73" s="4">
        <v>14.8</v>
      </c>
      <c r="C73" s="4">
        <v>15.18</v>
      </c>
      <c r="D73" s="4">
        <v>14.74</v>
      </c>
      <c r="E73" s="4">
        <v>15.16</v>
      </c>
      <c r="F73" s="4">
        <v>15.16</v>
      </c>
      <c r="G73" s="11">
        <v>43398800</v>
      </c>
      <c r="H73" s="3">
        <f>(AMD[[#This Row],[Close]]-E72)/E72</f>
        <v>1.1340893929286186E-2</v>
      </c>
    </row>
    <row r="74" spans="1:8" x14ac:dyDescent="0.25">
      <c r="A74" s="8">
        <v>43284</v>
      </c>
      <c r="B74" s="4">
        <v>15.21</v>
      </c>
      <c r="C74" s="4">
        <v>15.34</v>
      </c>
      <c r="D74" s="4">
        <v>14.96</v>
      </c>
      <c r="E74" s="4">
        <v>15</v>
      </c>
      <c r="F74" s="4">
        <v>15</v>
      </c>
      <c r="G74" s="11">
        <v>32094000</v>
      </c>
      <c r="H74" s="3">
        <f>(AMD[[#This Row],[Close]]-E73)/E73</f>
        <v>-1.0554089709762543E-2</v>
      </c>
    </row>
    <row r="75" spans="1:8" x14ac:dyDescent="0.25">
      <c r="A75" s="8">
        <v>43286</v>
      </c>
      <c r="B75" s="4">
        <v>15.13</v>
      </c>
      <c r="C75" s="4">
        <v>15.5</v>
      </c>
      <c r="D75" s="4">
        <v>15.02</v>
      </c>
      <c r="E75" s="4">
        <v>15.5</v>
      </c>
      <c r="F75" s="4">
        <v>15.5</v>
      </c>
      <c r="G75" s="11">
        <v>40703300</v>
      </c>
      <c r="H75" s="3">
        <f>(AMD[[#This Row],[Close]]-E74)/E74</f>
        <v>3.3333333333333333E-2</v>
      </c>
    </row>
    <row r="76" spans="1:8" x14ac:dyDescent="0.25">
      <c r="A76" s="8">
        <v>43287</v>
      </c>
      <c r="B76" s="4">
        <v>15.52</v>
      </c>
      <c r="C76" s="4">
        <v>16.389999</v>
      </c>
      <c r="D76" s="4">
        <v>15.48</v>
      </c>
      <c r="E76" s="4">
        <v>16.360001</v>
      </c>
      <c r="F76" s="4">
        <v>16.360001</v>
      </c>
      <c r="G76" s="11">
        <v>65101700</v>
      </c>
      <c r="H76" s="3">
        <f>(AMD[[#This Row],[Close]]-E75)/E75</f>
        <v>5.5483935483870997E-2</v>
      </c>
    </row>
    <row r="77" spans="1:8" x14ac:dyDescent="0.25">
      <c r="A77" s="8">
        <v>43290</v>
      </c>
      <c r="B77" s="4">
        <v>16.73</v>
      </c>
      <c r="C77" s="4">
        <v>16.84</v>
      </c>
      <c r="D77" s="4">
        <v>16.170000000000002</v>
      </c>
      <c r="E77" s="4">
        <v>16.610001</v>
      </c>
      <c r="F77" s="4">
        <v>16.610001</v>
      </c>
      <c r="G77" s="11">
        <v>58525500</v>
      </c>
      <c r="H77" s="3">
        <f>(AMD[[#This Row],[Close]]-E76)/E76</f>
        <v>1.528117266007502E-2</v>
      </c>
    </row>
    <row r="78" spans="1:8" x14ac:dyDescent="0.25">
      <c r="A78" s="8">
        <v>43291</v>
      </c>
      <c r="B78" s="4">
        <v>16.59</v>
      </c>
      <c r="C78" s="4">
        <v>16.649999999999999</v>
      </c>
      <c r="D78" s="4">
        <v>16.309999000000001</v>
      </c>
      <c r="E78" s="4">
        <v>16.549999</v>
      </c>
      <c r="F78" s="4">
        <v>16.549999</v>
      </c>
      <c r="G78" s="11">
        <v>37093000</v>
      </c>
      <c r="H78" s="3">
        <f>(AMD[[#This Row],[Close]]-E77)/E77</f>
        <v>-3.6124019498855403E-3</v>
      </c>
    </row>
    <row r="79" spans="1:8" x14ac:dyDescent="0.25">
      <c r="A79" s="8">
        <v>43292</v>
      </c>
      <c r="B79" s="4">
        <v>16.149999999999999</v>
      </c>
      <c r="C79" s="4">
        <v>16.530000999999999</v>
      </c>
      <c r="D79" s="4">
        <v>16.02</v>
      </c>
      <c r="E79" s="4">
        <v>16.27</v>
      </c>
      <c r="F79" s="4">
        <v>16.27</v>
      </c>
      <c r="G79" s="11">
        <v>42544100</v>
      </c>
      <c r="H79" s="3">
        <f>(AMD[[#This Row],[Close]]-E78)/E78</f>
        <v>-1.6918369602318413E-2</v>
      </c>
    </row>
    <row r="80" spans="1:8" x14ac:dyDescent="0.25">
      <c r="A80" s="8">
        <v>43293</v>
      </c>
      <c r="B80" s="4">
        <v>16.41</v>
      </c>
      <c r="C80" s="4">
        <v>16.790001</v>
      </c>
      <c r="D80" s="4">
        <v>16.379999000000002</v>
      </c>
      <c r="E80" s="4">
        <v>16.559999000000001</v>
      </c>
      <c r="F80" s="4">
        <v>16.559999000000001</v>
      </c>
      <c r="G80" s="11">
        <v>44188100</v>
      </c>
      <c r="H80" s="3">
        <f>(AMD[[#This Row],[Close]]-E79)/E79</f>
        <v>1.7824154886293894E-2</v>
      </c>
    </row>
    <row r="81" spans="1:8" x14ac:dyDescent="0.25">
      <c r="A81" s="8">
        <v>43294</v>
      </c>
      <c r="B81" s="4">
        <v>16.68</v>
      </c>
      <c r="C81" s="4">
        <v>16.690000999999999</v>
      </c>
      <c r="D81" s="4">
        <v>16.219999000000001</v>
      </c>
      <c r="E81" s="4">
        <v>16.27</v>
      </c>
      <c r="F81" s="4">
        <v>16.27</v>
      </c>
      <c r="G81" s="11">
        <v>40614100</v>
      </c>
      <c r="H81" s="3">
        <f>(AMD[[#This Row],[Close]]-E80)/E80</f>
        <v>-1.7512017965701669E-2</v>
      </c>
    </row>
    <row r="82" spans="1:8" x14ac:dyDescent="0.25">
      <c r="A82" s="8">
        <v>43297</v>
      </c>
      <c r="B82" s="4">
        <v>16.420000000000002</v>
      </c>
      <c r="C82" s="4">
        <v>17</v>
      </c>
      <c r="D82" s="4">
        <v>16.41</v>
      </c>
      <c r="E82" s="4">
        <v>16.579999999999998</v>
      </c>
      <c r="F82" s="4">
        <v>16.579999999999998</v>
      </c>
      <c r="G82" s="11">
        <v>65275300</v>
      </c>
      <c r="H82" s="3">
        <f>(AMD[[#This Row],[Close]]-E81)/E81</f>
        <v>1.9053472649047248E-2</v>
      </c>
    </row>
    <row r="83" spans="1:8" x14ac:dyDescent="0.25">
      <c r="A83" s="8">
        <v>43298</v>
      </c>
      <c r="B83" s="4">
        <v>16.5</v>
      </c>
      <c r="C83" s="4">
        <v>16.879999000000002</v>
      </c>
      <c r="D83" s="4">
        <v>16.48</v>
      </c>
      <c r="E83" s="4">
        <v>16.870000999999998</v>
      </c>
      <c r="F83" s="4">
        <v>16.870000999999998</v>
      </c>
      <c r="G83" s="11">
        <v>42313500</v>
      </c>
      <c r="H83" s="3">
        <f>(AMD[[#This Row],[Close]]-E82)/E82</f>
        <v>1.7491013268998806E-2</v>
      </c>
    </row>
    <row r="84" spans="1:8" x14ac:dyDescent="0.25">
      <c r="A84" s="8">
        <v>43299</v>
      </c>
      <c r="B84" s="4">
        <v>16.940000999999999</v>
      </c>
      <c r="C84" s="4">
        <v>16.989999999999998</v>
      </c>
      <c r="D84" s="4">
        <v>16.549999</v>
      </c>
      <c r="E84" s="4">
        <v>16.850000000000001</v>
      </c>
      <c r="F84" s="4">
        <v>16.850000000000001</v>
      </c>
      <c r="G84" s="11">
        <v>40881500</v>
      </c>
      <c r="H84" s="3">
        <f>(AMD[[#This Row],[Close]]-E83)/E83</f>
        <v>-1.1855956617902424E-3</v>
      </c>
    </row>
    <row r="85" spans="1:8" x14ac:dyDescent="0.25">
      <c r="A85" s="8">
        <v>43300</v>
      </c>
      <c r="B85" s="4">
        <v>16.709999</v>
      </c>
      <c r="C85" s="4">
        <v>16.879999000000002</v>
      </c>
      <c r="D85" s="4">
        <v>16.549999</v>
      </c>
      <c r="E85" s="4">
        <v>16.709999</v>
      </c>
      <c r="F85" s="4">
        <v>16.709999</v>
      </c>
      <c r="G85" s="11">
        <v>41267800</v>
      </c>
      <c r="H85" s="3">
        <f>(AMD[[#This Row],[Close]]-E84)/E84</f>
        <v>-8.3086646884273935E-3</v>
      </c>
    </row>
    <row r="86" spans="1:8" x14ac:dyDescent="0.25">
      <c r="A86" s="8">
        <v>43301</v>
      </c>
      <c r="B86" s="4">
        <v>16.66</v>
      </c>
      <c r="C86" s="4">
        <v>16.879999000000002</v>
      </c>
      <c r="D86" s="4">
        <v>16.440000999999999</v>
      </c>
      <c r="E86" s="4">
        <v>16.5</v>
      </c>
      <c r="F86" s="4">
        <v>16.5</v>
      </c>
      <c r="G86" s="11">
        <v>42879800</v>
      </c>
      <c r="H86" s="3">
        <f>(AMD[[#This Row],[Close]]-E85)/E85</f>
        <v>-1.256726586279268E-2</v>
      </c>
    </row>
    <row r="87" spans="1:8" x14ac:dyDescent="0.25">
      <c r="A87" s="8">
        <v>43304</v>
      </c>
      <c r="B87" s="4">
        <v>16.469999000000001</v>
      </c>
      <c r="C87" s="4">
        <v>16.68</v>
      </c>
      <c r="D87" s="4">
        <v>15.9</v>
      </c>
      <c r="E87" s="4">
        <v>16.66</v>
      </c>
      <c r="F87" s="4">
        <v>16.66</v>
      </c>
      <c r="G87" s="11">
        <v>44940800</v>
      </c>
      <c r="H87" s="3">
        <f>(AMD[[#This Row],[Close]]-E86)/E86</f>
        <v>9.6969696969697056E-3</v>
      </c>
    </row>
    <row r="88" spans="1:8" x14ac:dyDescent="0.25">
      <c r="A88" s="8">
        <v>43305</v>
      </c>
      <c r="B88" s="4">
        <v>16.75</v>
      </c>
      <c r="C88" s="4">
        <v>16.860001</v>
      </c>
      <c r="D88" s="4">
        <v>16.110001</v>
      </c>
      <c r="E88" s="4">
        <v>16.190000999999999</v>
      </c>
      <c r="F88" s="4">
        <v>16.190000999999999</v>
      </c>
      <c r="G88" s="11">
        <v>58201500</v>
      </c>
      <c r="H88" s="3">
        <f>(AMD[[#This Row],[Close]]-E87)/E87</f>
        <v>-2.8211224489796002E-2</v>
      </c>
    </row>
    <row r="89" spans="1:8" x14ac:dyDescent="0.25">
      <c r="A89" s="8">
        <v>43306</v>
      </c>
      <c r="B89" s="4">
        <v>16.299999</v>
      </c>
      <c r="C89" s="4">
        <v>16.389999</v>
      </c>
      <c r="D89" s="4">
        <v>15.72</v>
      </c>
      <c r="E89" s="4">
        <v>16.049999</v>
      </c>
      <c r="F89" s="4">
        <v>16.049999</v>
      </c>
      <c r="G89" s="11">
        <v>82604900</v>
      </c>
      <c r="H89" s="3">
        <f>(AMD[[#This Row],[Close]]-E88)/E88</f>
        <v>-8.6474361551922754E-3</v>
      </c>
    </row>
    <row r="90" spans="1:8" x14ac:dyDescent="0.25">
      <c r="A90" s="8">
        <v>43307</v>
      </c>
      <c r="B90" s="4">
        <v>17.16</v>
      </c>
      <c r="C90" s="4">
        <v>18.450001</v>
      </c>
      <c r="D90" s="4">
        <v>16.829999999999998</v>
      </c>
      <c r="E90" s="4">
        <v>18.350000000000001</v>
      </c>
      <c r="F90" s="4">
        <v>18.350000000000001</v>
      </c>
      <c r="G90" s="11">
        <v>192661100</v>
      </c>
      <c r="H90" s="3">
        <f>(AMD[[#This Row],[Close]]-E89)/E89</f>
        <v>0.14330225191914353</v>
      </c>
    </row>
    <row r="91" spans="1:8" x14ac:dyDescent="0.25">
      <c r="A91" s="8">
        <v>43308</v>
      </c>
      <c r="B91" s="4">
        <v>19.07</v>
      </c>
      <c r="C91" s="4">
        <v>19.879999000000002</v>
      </c>
      <c r="D91" s="4">
        <v>18.309999000000001</v>
      </c>
      <c r="E91" s="4">
        <v>18.940000999999999</v>
      </c>
      <c r="F91" s="4">
        <v>18.940000999999999</v>
      </c>
      <c r="G91" s="11">
        <v>161903800</v>
      </c>
      <c r="H91" s="3">
        <f>(AMD[[#This Row],[Close]]-E90)/E90</f>
        <v>3.2152643051770971E-2</v>
      </c>
    </row>
    <row r="92" spans="1:8" x14ac:dyDescent="0.25">
      <c r="A92" s="8">
        <v>43311</v>
      </c>
      <c r="B92" s="4">
        <v>19.399999999999999</v>
      </c>
      <c r="C92" s="4">
        <v>20.18</v>
      </c>
      <c r="D92" s="4">
        <v>19.309999000000001</v>
      </c>
      <c r="E92" s="4">
        <v>19.420000000000002</v>
      </c>
      <c r="F92" s="4">
        <v>19.420000000000002</v>
      </c>
      <c r="G92" s="11">
        <v>160823400</v>
      </c>
      <c r="H92" s="3">
        <f>(AMD[[#This Row],[Close]]-E91)/E91</f>
        <v>2.5343134881566427E-2</v>
      </c>
    </row>
    <row r="93" spans="1:8" x14ac:dyDescent="0.25">
      <c r="A93" s="8">
        <v>43312</v>
      </c>
      <c r="B93" s="4">
        <v>19.350000000000001</v>
      </c>
      <c r="C93" s="4">
        <v>19.5</v>
      </c>
      <c r="D93" s="4">
        <v>18.27</v>
      </c>
      <c r="E93" s="4">
        <v>18.329999999999998</v>
      </c>
      <c r="F93" s="4">
        <v>18.329999999999998</v>
      </c>
      <c r="G93" s="11">
        <v>118403400</v>
      </c>
      <c r="H93" s="3">
        <f>(AMD[[#This Row],[Close]]-E92)/E92</f>
        <v>-5.6127703398558361E-2</v>
      </c>
    </row>
    <row r="94" spans="1:8" x14ac:dyDescent="0.25">
      <c r="A94" s="8">
        <v>43313</v>
      </c>
      <c r="B94" s="4">
        <v>18.34</v>
      </c>
      <c r="C94" s="4">
        <v>18.950001</v>
      </c>
      <c r="D94" s="4">
        <v>18.32</v>
      </c>
      <c r="E94" s="4">
        <v>18.48</v>
      </c>
      <c r="F94" s="4">
        <v>18.48</v>
      </c>
      <c r="G94" s="11">
        <v>75495200</v>
      </c>
      <c r="H94" s="3">
        <f>(AMD[[#This Row],[Close]]-E93)/E93</f>
        <v>8.183306055646598E-3</v>
      </c>
    </row>
    <row r="95" spans="1:8" x14ac:dyDescent="0.25">
      <c r="A95" s="8">
        <v>43314</v>
      </c>
      <c r="B95" s="4">
        <v>18.170000000000002</v>
      </c>
      <c r="C95" s="4">
        <v>18.829999999999998</v>
      </c>
      <c r="D95" s="4">
        <v>18</v>
      </c>
      <c r="E95" s="4">
        <v>18.790001</v>
      </c>
      <c r="F95" s="4">
        <v>18.790001</v>
      </c>
      <c r="G95" s="11">
        <v>52867100</v>
      </c>
      <c r="H95" s="3">
        <f>(AMD[[#This Row],[Close]]-E94)/E94</f>
        <v>1.6774945887445873E-2</v>
      </c>
    </row>
    <row r="96" spans="1:8" x14ac:dyDescent="0.25">
      <c r="A96" s="8">
        <v>43315</v>
      </c>
      <c r="B96" s="4">
        <v>18.940000999999999</v>
      </c>
      <c r="C96" s="4">
        <v>19.059999000000001</v>
      </c>
      <c r="D96" s="4">
        <v>18.370000999999998</v>
      </c>
      <c r="E96" s="4">
        <v>18.489999999999998</v>
      </c>
      <c r="F96" s="4">
        <v>18.489999999999998</v>
      </c>
      <c r="G96" s="11">
        <v>53232100</v>
      </c>
      <c r="H96" s="3">
        <f>(AMD[[#This Row],[Close]]-E95)/E95</f>
        <v>-1.5965991699521558E-2</v>
      </c>
    </row>
    <row r="97" spans="1:8" x14ac:dyDescent="0.25">
      <c r="A97" s="8">
        <v>43318</v>
      </c>
      <c r="B97" s="4">
        <v>18.889999</v>
      </c>
      <c r="C97" s="4">
        <v>19.440000999999999</v>
      </c>
      <c r="D97" s="4">
        <v>18.459999</v>
      </c>
      <c r="E97" s="4">
        <v>19.43</v>
      </c>
      <c r="F97" s="4">
        <v>19.43</v>
      </c>
      <c r="G97" s="11">
        <v>83579700</v>
      </c>
      <c r="H97" s="3">
        <f>(AMD[[#This Row],[Close]]-E96)/E96</f>
        <v>5.0838290968090935E-2</v>
      </c>
    </row>
    <row r="98" spans="1:8" x14ac:dyDescent="0.25">
      <c r="A98" s="8">
        <v>43319</v>
      </c>
      <c r="B98" s="4">
        <v>19.530000999999999</v>
      </c>
      <c r="C98" s="4">
        <v>19.709999</v>
      </c>
      <c r="D98" s="4">
        <v>19.079999999999998</v>
      </c>
      <c r="E98" s="4">
        <v>19.559999000000001</v>
      </c>
      <c r="F98" s="4">
        <v>19.559999000000001</v>
      </c>
      <c r="G98" s="11">
        <v>72822600</v>
      </c>
      <c r="H98" s="3">
        <f>(AMD[[#This Row],[Close]]-E97)/E97</f>
        <v>6.6906330416881899E-3</v>
      </c>
    </row>
    <row r="99" spans="1:8" x14ac:dyDescent="0.25">
      <c r="A99" s="8">
        <v>43320</v>
      </c>
      <c r="B99" s="4">
        <v>19.459999</v>
      </c>
      <c r="C99" s="4">
        <v>19.77</v>
      </c>
      <c r="D99" s="4">
        <v>19.260000000000002</v>
      </c>
      <c r="E99" s="4">
        <v>19.579999999999998</v>
      </c>
      <c r="F99" s="4">
        <v>19.579999999999998</v>
      </c>
      <c r="G99" s="11">
        <v>52081400</v>
      </c>
      <c r="H99" s="3">
        <f>(AMD[[#This Row],[Close]]-E98)/E98</f>
        <v>1.0225460645471938E-3</v>
      </c>
    </row>
    <row r="100" spans="1:8" x14ac:dyDescent="0.25">
      <c r="A100" s="8">
        <v>43321</v>
      </c>
      <c r="B100" s="4">
        <v>19.579999999999998</v>
      </c>
      <c r="C100" s="4">
        <v>19.709999</v>
      </c>
      <c r="D100" s="4">
        <v>19.079999999999998</v>
      </c>
      <c r="E100" s="4">
        <v>19.100000000000001</v>
      </c>
      <c r="F100" s="4">
        <v>19.100000000000001</v>
      </c>
      <c r="G100" s="11">
        <v>46536400</v>
      </c>
      <c r="H100" s="3">
        <f>(AMD[[#This Row],[Close]]-E99)/E99</f>
        <v>-2.4514811031664807E-2</v>
      </c>
    </row>
    <row r="101" spans="1:8" x14ac:dyDescent="0.25">
      <c r="A101" s="8">
        <v>43322</v>
      </c>
      <c r="B101" s="4">
        <v>19.09</v>
      </c>
      <c r="C101" s="4">
        <v>19.48</v>
      </c>
      <c r="D101" s="4">
        <v>18.850000000000001</v>
      </c>
      <c r="E101" s="4">
        <v>19.059999000000001</v>
      </c>
      <c r="F101" s="4">
        <v>19.059999000000001</v>
      </c>
      <c r="G101" s="11">
        <v>65821100</v>
      </c>
      <c r="H101" s="3">
        <f>(AMD[[#This Row],[Close]]-E100)/E100</f>
        <v>-2.0942931937172867E-3</v>
      </c>
    </row>
    <row r="102" spans="1:8" x14ac:dyDescent="0.25">
      <c r="A102" s="8">
        <v>43325</v>
      </c>
      <c r="B102" s="4">
        <v>19.16</v>
      </c>
      <c r="C102" s="4">
        <v>19.93</v>
      </c>
      <c r="D102" s="4">
        <v>19.120000999999998</v>
      </c>
      <c r="E102" s="4">
        <v>19.73</v>
      </c>
      <c r="F102" s="4">
        <v>19.73</v>
      </c>
      <c r="G102" s="11">
        <v>81262200</v>
      </c>
      <c r="H102" s="3">
        <f>(AMD[[#This Row],[Close]]-E101)/E101</f>
        <v>3.5152205411972955E-2</v>
      </c>
    </row>
    <row r="103" spans="1:8" x14ac:dyDescent="0.25">
      <c r="A103" s="8">
        <v>43326</v>
      </c>
      <c r="B103" s="4">
        <v>19.969999000000001</v>
      </c>
      <c r="C103" s="4">
        <v>20.280000999999999</v>
      </c>
      <c r="D103" s="4">
        <v>19.629999000000002</v>
      </c>
      <c r="E103" s="4">
        <v>20.02</v>
      </c>
      <c r="F103" s="4">
        <v>20.02</v>
      </c>
      <c r="G103" s="11">
        <v>89195500</v>
      </c>
      <c r="H103" s="3">
        <f>(AMD[[#This Row],[Close]]-E102)/E102</f>
        <v>1.4698428788646687E-2</v>
      </c>
    </row>
    <row r="104" spans="1:8" x14ac:dyDescent="0.25">
      <c r="A104" s="8">
        <v>43327</v>
      </c>
      <c r="B104" s="4">
        <v>19.860001</v>
      </c>
      <c r="C104" s="4">
        <v>20.100000000000001</v>
      </c>
      <c r="D104" s="4">
        <v>19.200001</v>
      </c>
      <c r="E104" s="4">
        <v>19.700001</v>
      </c>
      <c r="F104" s="4">
        <v>19.700001</v>
      </c>
      <c r="G104" s="11">
        <v>86355700</v>
      </c>
      <c r="H104" s="3">
        <f>(AMD[[#This Row],[Close]]-E103)/E103</f>
        <v>-1.5983966033965995E-2</v>
      </c>
    </row>
    <row r="105" spans="1:8" x14ac:dyDescent="0.25">
      <c r="A105" s="8">
        <v>43328</v>
      </c>
      <c r="B105" s="4">
        <v>19.860001</v>
      </c>
      <c r="C105" s="4">
        <v>20.07</v>
      </c>
      <c r="D105" s="4">
        <v>19.25</v>
      </c>
      <c r="E105" s="4">
        <v>19.329999999999998</v>
      </c>
      <c r="F105" s="4">
        <v>19.329999999999998</v>
      </c>
      <c r="G105" s="11">
        <v>69733700</v>
      </c>
      <c r="H105" s="3">
        <f>(AMD[[#This Row],[Close]]-E104)/E104</f>
        <v>-1.8781775696356667E-2</v>
      </c>
    </row>
    <row r="106" spans="1:8" x14ac:dyDescent="0.25">
      <c r="A106" s="8">
        <v>43329</v>
      </c>
      <c r="B106" s="4">
        <v>19.120000999999998</v>
      </c>
      <c r="C106" s="4">
        <v>19.82</v>
      </c>
      <c r="D106" s="4">
        <v>18.73</v>
      </c>
      <c r="E106" s="4">
        <v>19.77</v>
      </c>
      <c r="F106" s="4">
        <v>19.77</v>
      </c>
      <c r="G106" s="11">
        <v>60616600</v>
      </c>
      <c r="H106" s="3">
        <f>(AMD[[#This Row],[Close]]-E105)/E105</f>
        <v>2.2762545266425314E-2</v>
      </c>
    </row>
    <row r="107" spans="1:8" x14ac:dyDescent="0.25">
      <c r="A107" s="8">
        <v>43332</v>
      </c>
      <c r="B107" s="4">
        <v>19.790001</v>
      </c>
      <c r="C107" s="4">
        <v>20.079999999999998</v>
      </c>
      <c r="D107" s="4">
        <v>19.350000000000001</v>
      </c>
      <c r="E107" s="4">
        <v>19.98</v>
      </c>
      <c r="F107" s="4">
        <v>19.98</v>
      </c>
      <c r="G107" s="11">
        <v>62983200</v>
      </c>
      <c r="H107" s="3">
        <f>(AMD[[#This Row],[Close]]-E106)/E106</f>
        <v>1.0622154779969695E-2</v>
      </c>
    </row>
    <row r="108" spans="1:8" x14ac:dyDescent="0.25">
      <c r="A108" s="8">
        <v>43333</v>
      </c>
      <c r="B108" s="4">
        <v>19.98</v>
      </c>
      <c r="C108" s="4">
        <v>20.420000000000002</v>
      </c>
      <c r="D108" s="4">
        <v>19.860001</v>
      </c>
      <c r="E108" s="4">
        <v>20.399999999999999</v>
      </c>
      <c r="F108" s="4">
        <v>20.399999999999999</v>
      </c>
      <c r="G108" s="11">
        <v>55629000</v>
      </c>
      <c r="H108" s="3">
        <f>(AMD[[#This Row],[Close]]-E107)/E107</f>
        <v>2.1021021021020929E-2</v>
      </c>
    </row>
    <row r="109" spans="1:8" x14ac:dyDescent="0.25">
      <c r="A109" s="8">
        <v>43334</v>
      </c>
      <c r="B109" s="4">
        <v>20.280000999999999</v>
      </c>
      <c r="C109" s="4">
        <v>20.92</v>
      </c>
      <c r="D109" s="4">
        <v>20.209999</v>
      </c>
      <c r="E109" s="4">
        <v>20.9</v>
      </c>
      <c r="F109" s="4">
        <v>20.9</v>
      </c>
      <c r="G109" s="11">
        <v>62002700</v>
      </c>
      <c r="H109" s="3">
        <f>(AMD[[#This Row],[Close]]-E108)/E108</f>
        <v>2.4509803921568631E-2</v>
      </c>
    </row>
    <row r="110" spans="1:8" x14ac:dyDescent="0.25">
      <c r="A110" s="8">
        <v>43335</v>
      </c>
      <c r="B110" s="4">
        <v>21.190000999999999</v>
      </c>
      <c r="C110" s="4">
        <v>22.32</v>
      </c>
      <c r="D110" s="4">
        <v>21.139999</v>
      </c>
      <c r="E110" s="4">
        <v>22.290001</v>
      </c>
      <c r="F110" s="4">
        <v>22.290001</v>
      </c>
      <c r="G110" s="11">
        <v>113444100</v>
      </c>
      <c r="H110" s="3">
        <f>(AMD[[#This Row],[Close]]-E109)/E109</f>
        <v>6.6507224880382854E-2</v>
      </c>
    </row>
    <row r="111" spans="1:8" x14ac:dyDescent="0.25">
      <c r="A111" s="8">
        <v>43336</v>
      </c>
      <c r="B111" s="4">
        <v>22.91</v>
      </c>
      <c r="C111" s="4">
        <v>24</v>
      </c>
      <c r="D111" s="4">
        <v>22.67</v>
      </c>
      <c r="E111" s="4">
        <v>23.98</v>
      </c>
      <c r="F111" s="4">
        <v>23.98</v>
      </c>
      <c r="G111" s="11">
        <v>164328200</v>
      </c>
      <c r="H111" s="3">
        <f>(AMD[[#This Row],[Close]]-E110)/E110</f>
        <v>7.58187045393134E-2</v>
      </c>
    </row>
    <row r="112" spans="1:8" x14ac:dyDescent="0.25">
      <c r="A112" s="8">
        <v>43339</v>
      </c>
      <c r="B112" s="4">
        <v>24.940000999999999</v>
      </c>
      <c r="C112" s="4">
        <v>27.299999</v>
      </c>
      <c r="D112" s="4">
        <v>24.629999000000002</v>
      </c>
      <c r="E112" s="4">
        <v>25.26</v>
      </c>
      <c r="F112" s="4">
        <v>25.26</v>
      </c>
      <c r="G112" s="11">
        <v>325058400</v>
      </c>
      <c r="H112" s="3">
        <f>(AMD[[#This Row],[Close]]-E111)/E111</f>
        <v>5.33778148457048E-2</v>
      </c>
    </row>
    <row r="113" spans="1:8" x14ac:dyDescent="0.25">
      <c r="A113" s="8">
        <v>43340</v>
      </c>
      <c r="B113" s="4">
        <v>25.51</v>
      </c>
      <c r="C113" s="4">
        <v>26.18</v>
      </c>
      <c r="D113" s="4">
        <v>24.040001</v>
      </c>
      <c r="E113" s="4">
        <v>25.049999</v>
      </c>
      <c r="F113" s="4">
        <v>25.049999</v>
      </c>
      <c r="G113" s="11">
        <v>215771200</v>
      </c>
      <c r="H113" s="3">
        <f>(AMD[[#This Row],[Close]]-E112)/E112</f>
        <v>-8.3135787806809924E-3</v>
      </c>
    </row>
    <row r="114" spans="1:8" x14ac:dyDescent="0.25">
      <c r="A114" s="8">
        <v>43341</v>
      </c>
      <c r="B114" s="4">
        <v>24.360001</v>
      </c>
      <c r="C114" s="4">
        <v>25.41</v>
      </c>
      <c r="D114" s="4">
        <v>24.01</v>
      </c>
      <c r="E114" s="4">
        <v>25.200001</v>
      </c>
      <c r="F114" s="4">
        <v>25.200001</v>
      </c>
      <c r="G114" s="11">
        <v>143223200</v>
      </c>
      <c r="H114" s="3">
        <f>(AMD[[#This Row],[Close]]-E113)/E113</f>
        <v>5.9881040314612643E-3</v>
      </c>
    </row>
    <row r="115" spans="1:8" x14ac:dyDescent="0.25">
      <c r="A115" s="8">
        <v>43342</v>
      </c>
      <c r="B115" s="4">
        <v>25.290001</v>
      </c>
      <c r="C115" s="4">
        <v>25.67</v>
      </c>
      <c r="D115" s="4">
        <v>24.76</v>
      </c>
      <c r="E115" s="4">
        <v>24.889999</v>
      </c>
      <c r="F115" s="4">
        <v>24.889999</v>
      </c>
      <c r="G115" s="11">
        <v>103607300</v>
      </c>
      <c r="H115" s="3">
        <f>(AMD[[#This Row],[Close]]-E114)/E114</f>
        <v>-1.2301666178505342E-2</v>
      </c>
    </row>
    <row r="116" spans="1:8" x14ac:dyDescent="0.25">
      <c r="A116" s="8">
        <v>43343</v>
      </c>
      <c r="B116" s="4">
        <v>24.889999</v>
      </c>
      <c r="C116" s="4">
        <v>25.24</v>
      </c>
      <c r="D116" s="4">
        <v>24.719999000000001</v>
      </c>
      <c r="E116" s="4">
        <v>25.17</v>
      </c>
      <c r="F116" s="4">
        <v>25.17</v>
      </c>
      <c r="G116" s="11">
        <v>65206400</v>
      </c>
      <c r="H116" s="3">
        <f>(AMD[[#This Row],[Close]]-E115)/E115</f>
        <v>1.1249538419025335E-2</v>
      </c>
    </row>
    <row r="117" spans="1:8" x14ac:dyDescent="0.25">
      <c r="A117" s="8">
        <v>43347</v>
      </c>
      <c r="B117" s="4">
        <v>25.620000999999998</v>
      </c>
      <c r="C117" s="4">
        <v>28.110001</v>
      </c>
      <c r="D117" s="4">
        <v>25.57</v>
      </c>
      <c r="E117" s="4">
        <v>28.059999000000001</v>
      </c>
      <c r="F117" s="4">
        <v>28.059999000000001</v>
      </c>
      <c r="G117" s="11">
        <v>192541300</v>
      </c>
      <c r="H117" s="3">
        <f>(AMD[[#This Row],[Close]]-E116)/E116</f>
        <v>0.11481918951132297</v>
      </c>
    </row>
    <row r="118" spans="1:8" x14ac:dyDescent="0.25">
      <c r="A118" s="8">
        <v>43348</v>
      </c>
      <c r="B118" s="4">
        <v>29.41</v>
      </c>
      <c r="C118" s="4">
        <v>29.940000999999999</v>
      </c>
      <c r="D118" s="4">
        <v>26.84</v>
      </c>
      <c r="E118" s="4">
        <v>28.51</v>
      </c>
      <c r="F118" s="4">
        <v>28.51</v>
      </c>
      <c r="G118" s="11">
        <v>257349000</v>
      </c>
      <c r="H118" s="3">
        <f>(AMD[[#This Row],[Close]]-E117)/E117</f>
        <v>1.6037099644942977E-2</v>
      </c>
    </row>
    <row r="119" spans="1:8" x14ac:dyDescent="0.25">
      <c r="A119" s="8">
        <v>43349</v>
      </c>
      <c r="B119" s="4">
        <v>28.120000999999998</v>
      </c>
      <c r="C119" s="4">
        <v>28.58</v>
      </c>
      <c r="D119" s="4">
        <v>27.190000999999999</v>
      </c>
      <c r="E119" s="4">
        <v>27.84</v>
      </c>
      <c r="F119" s="4">
        <v>27.84</v>
      </c>
      <c r="G119" s="11">
        <v>143942900</v>
      </c>
      <c r="H119" s="3">
        <f>(AMD[[#This Row],[Close]]-E118)/E118</f>
        <v>-2.3500526131182101E-2</v>
      </c>
    </row>
    <row r="120" spans="1:8" x14ac:dyDescent="0.25">
      <c r="A120" s="8">
        <v>43350</v>
      </c>
      <c r="B120" s="4">
        <v>26.959999</v>
      </c>
      <c r="C120" s="4">
        <v>28.27</v>
      </c>
      <c r="D120" s="4">
        <v>26.799999</v>
      </c>
      <c r="E120" s="4">
        <v>27.379999000000002</v>
      </c>
      <c r="F120" s="4">
        <v>27.379999000000002</v>
      </c>
      <c r="G120" s="11">
        <v>123348700</v>
      </c>
      <c r="H120" s="3">
        <f>(AMD[[#This Row],[Close]]-E119)/E119</f>
        <v>-1.6523024425287296E-2</v>
      </c>
    </row>
    <row r="121" spans="1:8" x14ac:dyDescent="0.25">
      <c r="A121" s="8">
        <v>43353</v>
      </c>
      <c r="B121" s="4">
        <v>28.15</v>
      </c>
      <c r="C121" s="4">
        <v>29.93</v>
      </c>
      <c r="D121" s="4">
        <v>27.84</v>
      </c>
      <c r="E121" s="4">
        <v>29.889999</v>
      </c>
      <c r="F121" s="4">
        <v>29.889999</v>
      </c>
      <c r="G121" s="11">
        <v>162253800</v>
      </c>
      <c r="H121" s="3">
        <f>(AMD[[#This Row],[Close]]-E120)/E120</f>
        <v>9.1672757183080905E-2</v>
      </c>
    </row>
    <row r="122" spans="1:8" x14ac:dyDescent="0.25">
      <c r="A122" s="8">
        <v>43354</v>
      </c>
      <c r="B122" s="4">
        <v>30.02</v>
      </c>
      <c r="C122" s="4">
        <v>30.59</v>
      </c>
      <c r="D122" s="4">
        <v>29.370000999999998</v>
      </c>
      <c r="E122" s="4">
        <v>30.1</v>
      </c>
      <c r="F122" s="4">
        <v>30.1</v>
      </c>
      <c r="G122" s="11">
        <v>159902500</v>
      </c>
      <c r="H122" s="3">
        <f>(AMD[[#This Row],[Close]]-E121)/E121</f>
        <v>7.0257948151822248E-3</v>
      </c>
    </row>
    <row r="123" spans="1:8" x14ac:dyDescent="0.25">
      <c r="A123" s="8">
        <v>43355</v>
      </c>
      <c r="B123" s="4">
        <v>29.91</v>
      </c>
      <c r="C123" s="4">
        <v>32.290000999999997</v>
      </c>
      <c r="D123" s="4">
        <v>29.450001</v>
      </c>
      <c r="E123" s="4">
        <v>32.209999000000003</v>
      </c>
      <c r="F123" s="4">
        <v>32.209999000000003</v>
      </c>
      <c r="G123" s="11">
        <v>197889600</v>
      </c>
      <c r="H123" s="3">
        <f>(AMD[[#This Row],[Close]]-E122)/E122</f>
        <v>7.009963455149508E-2</v>
      </c>
    </row>
    <row r="124" spans="1:8" x14ac:dyDescent="0.25">
      <c r="A124" s="8">
        <v>43356</v>
      </c>
      <c r="B124" s="4">
        <v>33.159999999999997</v>
      </c>
      <c r="C124" s="4">
        <v>34.139999000000003</v>
      </c>
      <c r="D124" s="4">
        <v>29.870000999999998</v>
      </c>
      <c r="E124" s="4">
        <v>30.48</v>
      </c>
      <c r="F124" s="4">
        <v>30.48</v>
      </c>
      <c r="G124" s="11">
        <v>304147100</v>
      </c>
      <c r="H124" s="3">
        <f>(AMD[[#This Row],[Close]]-E123)/E123</f>
        <v>-5.3709998562868719E-2</v>
      </c>
    </row>
    <row r="125" spans="1:8" x14ac:dyDescent="0.25">
      <c r="A125" s="8">
        <v>43357</v>
      </c>
      <c r="B125" s="4">
        <v>31.43</v>
      </c>
      <c r="C125" s="4">
        <v>33.090000000000003</v>
      </c>
      <c r="D125" s="4">
        <v>30.540001</v>
      </c>
      <c r="E125" s="4">
        <v>32.720001000000003</v>
      </c>
      <c r="F125" s="4">
        <v>32.720001000000003</v>
      </c>
      <c r="G125" s="11">
        <v>217762800</v>
      </c>
      <c r="H125" s="3">
        <f>(AMD[[#This Row],[Close]]-E124)/E124</f>
        <v>7.3490846456693015E-2</v>
      </c>
    </row>
    <row r="126" spans="1:8" x14ac:dyDescent="0.25">
      <c r="A126" s="8">
        <v>43360</v>
      </c>
      <c r="B126" s="4">
        <v>31.75</v>
      </c>
      <c r="C126" s="4">
        <v>33.229999999999997</v>
      </c>
      <c r="D126" s="4">
        <v>31.6</v>
      </c>
      <c r="E126" s="4">
        <v>32.43</v>
      </c>
      <c r="F126" s="4">
        <v>32.43</v>
      </c>
      <c r="G126" s="11">
        <v>180410600</v>
      </c>
      <c r="H126" s="3">
        <f>(AMD[[#This Row],[Close]]-E125)/E125</f>
        <v>-8.8631109760664035E-3</v>
      </c>
    </row>
    <row r="127" spans="1:8" x14ac:dyDescent="0.25">
      <c r="A127" s="8">
        <v>43361</v>
      </c>
      <c r="B127" s="4">
        <v>32.990001999999997</v>
      </c>
      <c r="C127" s="4">
        <v>33.369999</v>
      </c>
      <c r="D127" s="4">
        <v>31.200001</v>
      </c>
      <c r="E127" s="4">
        <v>31.93</v>
      </c>
      <c r="F127" s="4">
        <v>31.93</v>
      </c>
      <c r="G127" s="11">
        <v>176673200</v>
      </c>
      <c r="H127" s="3">
        <f>(AMD[[#This Row],[Close]]-E126)/E126</f>
        <v>-1.5417823003391921E-2</v>
      </c>
    </row>
    <row r="128" spans="1:8" x14ac:dyDescent="0.25">
      <c r="A128" s="8">
        <v>43362</v>
      </c>
      <c r="B128" s="4">
        <v>31.52</v>
      </c>
      <c r="C128" s="4">
        <v>31.83</v>
      </c>
      <c r="D128" s="4">
        <v>30.51</v>
      </c>
      <c r="E128" s="4">
        <v>31.209999</v>
      </c>
      <c r="F128" s="4">
        <v>31.209999</v>
      </c>
      <c r="G128" s="11">
        <v>124287000</v>
      </c>
      <c r="H128" s="3">
        <f>(AMD[[#This Row],[Close]]-E127)/E127</f>
        <v>-2.25493579705606E-2</v>
      </c>
    </row>
    <row r="129" spans="1:8" x14ac:dyDescent="0.25">
      <c r="A129" s="8">
        <v>43363</v>
      </c>
      <c r="B129" s="4">
        <v>32.099997999999999</v>
      </c>
      <c r="C129" s="4">
        <v>32.200001</v>
      </c>
      <c r="D129" s="4">
        <v>30.639999</v>
      </c>
      <c r="E129" s="4">
        <v>31.18</v>
      </c>
      <c r="F129" s="4">
        <v>31.18</v>
      </c>
      <c r="G129" s="11">
        <v>123116500</v>
      </c>
      <c r="H129" s="3">
        <f>(AMD[[#This Row],[Close]]-E128)/E128</f>
        <v>-9.6119836466512256E-4</v>
      </c>
    </row>
    <row r="130" spans="1:8" x14ac:dyDescent="0.25">
      <c r="A130" s="8">
        <v>43364</v>
      </c>
      <c r="B130" s="4">
        <v>31.190000999999999</v>
      </c>
      <c r="C130" s="4">
        <v>32.419998</v>
      </c>
      <c r="D130" s="4">
        <v>30.91</v>
      </c>
      <c r="E130" s="4">
        <v>31.02</v>
      </c>
      <c r="F130" s="4">
        <v>31.02</v>
      </c>
      <c r="G130" s="11">
        <v>129792900</v>
      </c>
      <c r="H130" s="3">
        <f>(AMD[[#This Row],[Close]]-E129)/E129</f>
        <v>-5.1314945477870478E-3</v>
      </c>
    </row>
    <row r="131" spans="1:8" x14ac:dyDescent="0.25">
      <c r="A131" s="8">
        <v>43367</v>
      </c>
      <c r="B131" s="4">
        <v>31.129999000000002</v>
      </c>
      <c r="C131" s="4">
        <v>32.650002000000001</v>
      </c>
      <c r="D131" s="4">
        <v>30.91</v>
      </c>
      <c r="E131" s="4">
        <v>32.610000999999997</v>
      </c>
      <c r="F131" s="4">
        <v>32.610000999999997</v>
      </c>
      <c r="G131" s="11">
        <v>118332600</v>
      </c>
      <c r="H131" s="3">
        <f>(AMD[[#This Row],[Close]]-E130)/E130</f>
        <v>5.1257285622179155E-2</v>
      </c>
    </row>
    <row r="132" spans="1:8" x14ac:dyDescent="0.25">
      <c r="A132" s="8">
        <v>43368</v>
      </c>
      <c r="B132" s="4">
        <v>33.18</v>
      </c>
      <c r="C132" s="4">
        <v>33.599997999999999</v>
      </c>
      <c r="D132" s="4">
        <v>32.189999</v>
      </c>
      <c r="E132" s="4">
        <v>32.57</v>
      </c>
      <c r="F132" s="4">
        <v>32.57</v>
      </c>
      <c r="G132" s="11">
        <v>118570200</v>
      </c>
      <c r="H132" s="3">
        <f>(AMD[[#This Row],[Close]]-E131)/E131</f>
        <v>-1.226648229786826E-3</v>
      </c>
    </row>
    <row r="133" spans="1:8" x14ac:dyDescent="0.25">
      <c r="A133" s="8">
        <v>43369</v>
      </c>
      <c r="B133" s="4">
        <v>32.400002000000001</v>
      </c>
      <c r="C133" s="4">
        <v>32.599997999999999</v>
      </c>
      <c r="D133" s="4">
        <v>31.719999000000001</v>
      </c>
      <c r="E133" s="4">
        <v>32.189999</v>
      </c>
      <c r="F133" s="4">
        <v>32.189999</v>
      </c>
      <c r="G133" s="11">
        <v>79347300</v>
      </c>
      <c r="H133" s="3">
        <f>(AMD[[#This Row],[Close]]-E132)/E132</f>
        <v>-1.1667209088117901E-2</v>
      </c>
    </row>
    <row r="134" spans="1:8" x14ac:dyDescent="0.25">
      <c r="A134" s="8">
        <v>43370</v>
      </c>
      <c r="B134" s="4">
        <v>31.860001</v>
      </c>
      <c r="C134" s="4">
        <v>32.630001</v>
      </c>
      <c r="D134" s="4">
        <v>31.389999</v>
      </c>
      <c r="E134" s="4">
        <v>32.590000000000003</v>
      </c>
      <c r="F134" s="4">
        <v>32.590000000000003</v>
      </c>
      <c r="G134" s="11">
        <v>87934400</v>
      </c>
      <c r="H134" s="3">
        <f>(AMD[[#This Row],[Close]]-E133)/E133</f>
        <v>1.2426250774347745E-2</v>
      </c>
    </row>
    <row r="135" spans="1:8" x14ac:dyDescent="0.25">
      <c r="A135" s="8">
        <v>43371</v>
      </c>
      <c r="B135" s="4">
        <v>32.240001999999997</v>
      </c>
      <c r="C135" s="4">
        <v>32.779998999999997</v>
      </c>
      <c r="D135" s="4">
        <v>29.98</v>
      </c>
      <c r="E135" s="4">
        <v>30.889999</v>
      </c>
      <c r="F135" s="4">
        <v>30.889999</v>
      </c>
      <c r="G135" s="11">
        <v>165453500</v>
      </c>
      <c r="H135" s="3">
        <f>(AMD[[#This Row],[Close]]-E134)/E134</f>
        <v>-5.2163270942006866E-2</v>
      </c>
    </row>
    <row r="136" spans="1:8" x14ac:dyDescent="0.25">
      <c r="A136" s="8">
        <v>43374</v>
      </c>
      <c r="B136" s="4">
        <v>30.690000999999999</v>
      </c>
      <c r="C136" s="4">
        <v>31.91</v>
      </c>
      <c r="D136" s="4">
        <v>30.25</v>
      </c>
      <c r="E136" s="4">
        <v>31.42</v>
      </c>
      <c r="F136" s="4">
        <v>31.42</v>
      </c>
      <c r="G136" s="11">
        <v>94742900</v>
      </c>
      <c r="H136" s="3">
        <f>(AMD[[#This Row],[Close]]-E135)/E135</f>
        <v>1.7157689127798359E-2</v>
      </c>
    </row>
    <row r="137" spans="1:8" x14ac:dyDescent="0.25">
      <c r="A137" s="8">
        <v>43375</v>
      </c>
      <c r="B137" s="4">
        <v>30.73</v>
      </c>
      <c r="C137" s="4">
        <v>30.82</v>
      </c>
      <c r="D137" s="4">
        <v>28.65</v>
      </c>
      <c r="E137" s="4">
        <v>29.02</v>
      </c>
      <c r="F137" s="4">
        <v>29.02</v>
      </c>
      <c r="G137" s="11">
        <v>145276500</v>
      </c>
      <c r="H137" s="3">
        <f>(AMD[[#This Row],[Close]]-E136)/E136</f>
        <v>-7.6384468491406815E-2</v>
      </c>
    </row>
    <row r="138" spans="1:8" x14ac:dyDescent="0.25">
      <c r="A138" s="8">
        <v>43376</v>
      </c>
      <c r="B138" s="4">
        <v>29.040001</v>
      </c>
      <c r="C138" s="4">
        <v>29.219999000000001</v>
      </c>
      <c r="D138" s="4">
        <v>26.540001</v>
      </c>
      <c r="E138" s="4">
        <v>28.43</v>
      </c>
      <c r="F138" s="4">
        <v>28.43</v>
      </c>
      <c r="G138" s="11">
        <v>190137200</v>
      </c>
      <c r="H138" s="3">
        <f>(AMD[[#This Row],[Close]]-E137)/E137</f>
        <v>-2.0330806340454855E-2</v>
      </c>
    </row>
    <row r="139" spans="1:8" x14ac:dyDescent="0.25">
      <c r="A139" s="8">
        <v>43377</v>
      </c>
      <c r="B139" s="4">
        <v>27.99</v>
      </c>
      <c r="C139" s="4">
        <v>28.83</v>
      </c>
      <c r="D139" s="4">
        <v>27.370000999999998</v>
      </c>
      <c r="E139" s="4">
        <v>27.780000999999999</v>
      </c>
      <c r="F139" s="4">
        <v>27.780000999999999</v>
      </c>
      <c r="G139" s="11">
        <v>95831200</v>
      </c>
      <c r="H139" s="3">
        <f>(AMD[[#This Row],[Close]]-E138)/E138</f>
        <v>-2.2863137530777386E-2</v>
      </c>
    </row>
    <row r="140" spans="1:8" x14ac:dyDescent="0.25">
      <c r="A140" s="8">
        <v>43378</v>
      </c>
      <c r="B140" s="4">
        <v>28.07</v>
      </c>
      <c r="C140" s="4">
        <v>28.469999000000001</v>
      </c>
      <c r="D140" s="4">
        <v>26.93</v>
      </c>
      <c r="E140" s="4">
        <v>27.35</v>
      </c>
      <c r="F140" s="4">
        <v>27.35</v>
      </c>
      <c r="G140" s="11">
        <v>88008500</v>
      </c>
      <c r="H140" s="3">
        <f>(AMD[[#This Row],[Close]]-E139)/E139</f>
        <v>-1.5478797138992082E-2</v>
      </c>
    </row>
    <row r="141" spans="1:8" x14ac:dyDescent="0.25">
      <c r="A141" s="8">
        <v>43381</v>
      </c>
      <c r="B141" s="4">
        <v>26.73</v>
      </c>
      <c r="C141" s="4">
        <v>27.540001</v>
      </c>
      <c r="D141" s="4">
        <v>25.959999</v>
      </c>
      <c r="E141" s="4">
        <v>26.459999</v>
      </c>
      <c r="F141" s="4">
        <v>26.459999</v>
      </c>
      <c r="G141" s="11">
        <v>103789500</v>
      </c>
      <c r="H141" s="3">
        <f>(AMD[[#This Row],[Close]]-E140)/E140</f>
        <v>-3.2541170018281593E-2</v>
      </c>
    </row>
    <row r="142" spans="1:8" x14ac:dyDescent="0.25">
      <c r="A142" s="8">
        <v>43382</v>
      </c>
      <c r="B142" s="4">
        <v>26.15</v>
      </c>
      <c r="C142" s="4">
        <v>27.709999</v>
      </c>
      <c r="D142" s="4">
        <v>26</v>
      </c>
      <c r="E142" s="4">
        <v>27.24</v>
      </c>
      <c r="F142" s="4">
        <v>27.24</v>
      </c>
      <c r="G142" s="11">
        <v>105461800</v>
      </c>
      <c r="H142" s="3">
        <f>(AMD[[#This Row],[Close]]-E141)/E141</f>
        <v>2.9478496956859244E-2</v>
      </c>
    </row>
    <row r="143" spans="1:8" x14ac:dyDescent="0.25">
      <c r="A143" s="8">
        <v>43383</v>
      </c>
      <c r="B143" s="4">
        <v>27.379999000000002</v>
      </c>
      <c r="C143" s="4">
        <v>27.4</v>
      </c>
      <c r="D143" s="4">
        <v>24.91</v>
      </c>
      <c r="E143" s="4">
        <v>25</v>
      </c>
      <c r="F143" s="4">
        <v>25</v>
      </c>
      <c r="G143" s="11">
        <v>147682900</v>
      </c>
      <c r="H143" s="3">
        <f>(AMD[[#This Row],[Close]]-E142)/E142</f>
        <v>-8.2232011747430195E-2</v>
      </c>
    </row>
    <row r="144" spans="1:8" x14ac:dyDescent="0.25">
      <c r="A144" s="8">
        <v>43384</v>
      </c>
      <c r="B144" s="4">
        <v>24.74</v>
      </c>
      <c r="C144" s="4">
        <v>26.200001</v>
      </c>
      <c r="D144" s="4">
        <v>24.549999</v>
      </c>
      <c r="E144" s="4">
        <v>25.299999</v>
      </c>
      <c r="F144" s="4">
        <v>25.299999</v>
      </c>
      <c r="G144" s="11">
        <v>147013800</v>
      </c>
      <c r="H144" s="3">
        <f>(AMD[[#This Row],[Close]]-E143)/E143</f>
        <v>1.1999959999999987E-2</v>
      </c>
    </row>
    <row r="145" spans="1:8" x14ac:dyDescent="0.25">
      <c r="A145" s="8">
        <v>43385</v>
      </c>
      <c r="B145" s="4">
        <v>26.77</v>
      </c>
      <c r="C145" s="4">
        <v>26.969999000000001</v>
      </c>
      <c r="D145" s="4">
        <v>25.67</v>
      </c>
      <c r="E145" s="4">
        <v>26.34</v>
      </c>
      <c r="F145" s="4">
        <v>26.34</v>
      </c>
      <c r="G145" s="11">
        <v>111059400</v>
      </c>
      <c r="H145" s="3">
        <f>(AMD[[#This Row],[Close]]-E144)/E144</f>
        <v>4.110676051805378E-2</v>
      </c>
    </row>
    <row r="146" spans="1:8" x14ac:dyDescent="0.25">
      <c r="A146" s="8">
        <v>43388</v>
      </c>
      <c r="B146" s="4">
        <v>26.379999000000002</v>
      </c>
      <c r="C146" s="4">
        <v>26.77</v>
      </c>
      <c r="D146" s="4">
        <v>25.75</v>
      </c>
      <c r="E146" s="4">
        <v>26.26</v>
      </c>
      <c r="F146" s="4">
        <v>26.26</v>
      </c>
      <c r="G146" s="11">
        <v>70523500</v>
      </c>
      <c r="H146" s="3">
        <f>(AMD[[#This Row],[Close]]-E145)/E145</f>
        <v>-3.0372057706908994E-3</v>
      </c>
    </row>
    <row r="147" spans="1:8" x14ac:dyDescent="0.25">
      <c r="A147" s="8">
        <v>43389</v>
      </c>
      <c r="B147" s="4">
        <v>26.629999000000002</v>
      </c>
      <c r="C147" s="4">
        <v>28.23</v>
      </c>
      <c r="D147" s="4">
        <v>26.17</v>
      </c>
      <c r="E147" s="4">
        <v>28.18</v>
      </c>
      <c r="F147" s="4">
        <v>28.18</v>
      </c>
      <c r="G147" s="11">
        <v>92529000</v>
      </c>
      <c r="H147" s="3">
        <f>(AMD[[#This Row],[Close]]-E146)/E146</f>
        <v>7.3115003808073037E-2</v>
      </c>
    </row>
    <row r="148" spans="1:8" x14ac:dyDescent="0.25">
      <c r="A148" s="8">
        <v>43390</v>
      </c>
      <c r="B148" s="4">
        <v>28.41</v>
      </c>
      <c r="C148" s="4">
        <v>28.530000999999999</v>
      </c>
      <c r="D148" s="4">
        <v>26.92</v>
      </c>
      <c r="E148" s="4">
        <v>27.299999</v>
      </c>
      <c r="F148" s="4">
        <v>27.299999</v>
      </c>
      <c r="G148" s="11">
        <v>89466900</v>
      </c>
      <c r="H148" s="3">
        <f>(AMD[[#This Row],[Close]]-E147)/E147</f>
        <v>-3.1227856635911995E-2</v>
      </c>
    </row>
    <row r="149" spans="1:8" x14ac:dyDescent="0.25">
      <c r="A149" s="8">
        <v>43391</v>
      </c>
      <c r="B149" s="4">
        <v>27.08</v>
      </c>
      <c r="C149" s="4">
        <v>27.75</v>
      </c>
      <c r="D149" s="4">
        <v>26.4</v>
      </c>
      <c r="E149" s="4">
        <v>26.620000999999998</v>
      </c>
      <c r="F149" s="4">
        <v>26.620000999999998</v>
      </c>
      <c r="G149" s="11">
        <v>79623700</v>
      </c>
      <c r="H149" s="3">
        <f>(AMD[[#This Row],[Close]]-E148)/E148</f>
        <v>-2.4908352560745559E-2</v>
      </c>
    </row>
    <row r="150" spans="1:8" x14ac:dyDescent="0.25">
      <c r="A150" s="8">
        <v>43392</v>
      </c>
      <c r="B150" s="4">
        <v>27.030000999999999</v>
      </c>
      <c r="C150" s="4">
        <v>27.1</v>
      </c>
      <c r="D150" s="4">
        <v>23.6</v>
      </c>
      <c r="E150" s="4">
        <v>23.66</v>
      </c>
      <c r="F150" s="4">
        <v>23.66</v>
      </c>
      <c r="G150" s="11">
        <v>130799900</v>
      </c>
      <c r="H150" s="3">
        <f>(AMD[[#This Row],[Close]]-E149)/E149</f>
        <v>-0.11119462392206517</v>
      </c>
    </row>
    <row r="151" spans="1:8" x14ac:dyDescent="0.25">
      <c r="A151" s="8">
        <v>43395</v>
      </c>
      <c r="B151" s="4">
        <v>24.459999</v>
      </c>
      <c r="C151" s="4">
        <v>25.639999</v>
      </c>
      <c r="D151" s="4">
        <v>24.09</v>
      </c>
      <c r="E151" s="4">
        <v>25.030000999999999</v>
      </c>
      <c r="F151" s="4">
        <v>25.030000999999999</v>
      </c>
      <c r="G151" s="11">
        <v>114158900</v>
      </c>
      <c r="H151" s="3">
        <f>(AMD[[#This Row],[Close]]-E150)/E150</f>
        <v>5.7903677092138568E-2</v>
      </c>
    </row>
    <row r="152" spans="1:8" x14ac:dyDescent="0.25">
      <c r="A152" s="8">
        <v>43396</v>
      </c>
      <c r="B152" s="4">
        <v>24.18</v>
      </c>
      <c r="C152" s="4">
        <v>25.26</v>
      </c>
      <c r="D152" s="4">
        <v>23.85</v>
      </c>
      <c r="E152" s="4">
        <v>25.09</v>
      </c>
      <c r="F152" s="4">
        <v>25.09</v>
      </c>
      <c r="G152" s="11">
        <v>101763000</v>
      </c>
      <c r="H152" s="3">
        <f>(AMD[[#This Row],[Close]]-E151)/E151</f>
        <v>2.3970834040318756E-3</v>
      </c>
    </row>
    <row r="153" spans="1:8" x14ac:dyDescent="0.25">
      <c r="A153" s="8">
        <v>43397</v>
      </c>
      <c r="B153" s="4">
        <v>25.040001</v>
      </c>
      <c r="C153" s="4">
        <v>25.1</v>
      </c>
      <c r="D153" s="4">
        <v>22.75</v>
      </c>
      <c r="E153" s="4">
        <v>22.790001</v>
      </c>
      <c r="F153" s="4">
        <v>22.790001</v>
      </c>
      <c r="G153" s="11">
        <v>134489100</v>
      </c>
      <c r="H153" s="3">
        <f>(AMD[[#This Row],[Close]]-E152)/E152</f>
        <v>-9.1669948186528488E-2</v>
      </c>
    </row>
    <row r="154" spans="1:8" x14ac:dyDescent="0.25">
      <c r="A154" s="8">
        <v>43398</v>
      </c>
      <c r="B154" s="4">
        <v>17.920000000000002</v>
      </c>
      <c r="C154" s="4">
        <v>20.149999999999999</v>
      </c>
      <c r="D154" s="4">
        <v>17.719999000000001</v>
      </c>
      <c r="E154" s="4">
        <v>19.27</v>
      </c>
      <c r="F154" s="4">
        <v>19.27</v>
      </c>
      <c r="G154" s="11">
        <v>189173700</v>
      </c>
      <c r="H154" s="3">
        <f>(AMD[[#This Row],[Close]]-E153)/E153</f>
        <v>-0.15445374486819902</v>
      </c>
    </row>
    <row r="155" spans="1:8" x14ac:dyDescent="0.25">
      <c r="A155" s="8">
        <v>43399</v>
      </c>
      <c r="B155" s="4">
        <v>18.489999999999998</v>
      </c>
      <c r="C155" s="4">
        <v>18.780000999999999</v>
      </c>
      <c r="D155" s="4">
        <v>17.049999</v>
      </c>
      <c r="E155" s="4">
        <v>17.629999000000002</v>
      </c>
      <c r="F155" s="4">
        <v>17.629999000000002</v>
      </c>
      <c r="G155" s="11">
        <v>119689000</v>
      </c>
      <c r="H155" s="3">
        <f>(AMD[[#This Row],[Close]]-E154)/E154</f>
        <v>-8.5106434872859266E-2</v>
      </c>
    </row>
    <row r="156" spans="1:8" x14ac:dyDescent="0.25">
      <c r="A156" s="8">
        <v>43402</v>
      </c>
      <c r="B156" s="4">
        <v>18.209999</v>
      </c>
      <c r="C156" s="4">
        <v>18.23</v>
      </c>
      <c r="D156" s="4">
        <v>16.27</v>
      </c>
      <c r="E156" s="4">
        <v>16.850000000000001</v>
      </c>
      <c r="F156" s="4">
        <v>16.850000000000001</v>
      </c>
      <c r="G156" s="11">
        <v>94479600</v>
      </c>
      <c r="H156" s="3">
        <f>(AMD[[#This Row],[Close]]-E155)/E155</f>
        <v>-4.4242713797090973E-2</v>
      </c>
    </row>
    <row r="157" spans="1:8" x14ac:dyDescent="0.25">
      <c r="A157" s="8">
        <v>43403</v>
      </c>
      <c r="B157" s="4">
        <v>16.379999000000002</v>
      </c>
      <c r="C157" s="4">
        <v>17.239999999999998</v>
      </c>
      <c r="D157" s="4">
        <v>16.170000000000002</v>
      </c>
      <c r="E157" s="4">
        <v>17.200001</v>
      </c>
      <c r="F157" s="4">
        <v>17.200001</v>
      </c>
      <c r="G157" s="11">
        <v>99049400</v>
      </c>
      <c r="H157" s="3">
        <f>(AMD[[#This Row],[Close]]-E156)/E156</f>
        <v>2.077157270029667E-2</v>
      </c>
    </row>
    <row r="158" spans="1:8" x14ac:dyDescent="0.25">
      <c r="A158" s="8">
        <v>43404</v>
      </c>
      <c r="B158" s="4">
        <v>17.870000999999998</v>
      </c>
      <c r="C158" s="4">
        <v>18.34</v>
      </c>
      <c r="D158" s="4">
        <v>17.120000999999998</v>
      </c>
      <c r="E158" s="4">
        <v>18.209999</v>
      </c>
      <c r="F158" s="4">
        <v>18.209999</v>
      </c>
      <c r="G158" s="11">
        <v>110463700</v>
      </c>
      <c r="H158" s="3">
        <f>(AMD[[#This Row],[Close]]-E157)/E157</f>
        <v>5.8720810539487731E-2</v>
      </c>
    </row>
    <row r="159" spans="1:8" x14ac:dyDescent="0.25">
      <c r="A159" s="8">
        <v>43405</v>
      </c>
      <c r="B159" s="4">
        <v>18.41</v>
      </c>
      <c r="C159" s="4">
        <v>20.329999999999998</v>
      </c>
      <c r="D159" s="4">
        <v>18.079999999999998</v>
      </c>
      <c r="E159" s="4">
        <v>20.219999000000001</v>
      </c>
      <c r="F159" s="4">
        <v>20.219999000000001</v>
      </c>
      <c r="G159" s="11">
        <v>136896500</v>
      </c>
      <c r="H159" s="3">
        <f>(AMD[[#This Row],[Close]]-E158)/E158</f>
        <v>0.1103789187467831</v>
      </c>
    </row>
    <row r="160" spans="1:8" x14ac:dyDescent="0.25">
      <c r="A160" s="8">
        <v>43406</v>
      </c>
      <c r="B160" s="4">
        <v>20.59</v>
      </c>
      <c r="C160" s="4">
        <v>21.059999000000001</v>
      </c>
      <c r="D160" s="4">
        <v>19.469999000000001</v>
      </c>
      <c r="E160" s="4">
        <v>20.23</v>
      </c>
      <c r="F160" s="4">
        <v>20.23</v>
      </c>
      <c r="G160" s="11">
        <v>123788000</v>
      </c>
      <c r="H160" s="3">
        <f>(AMD[[#This Row],[Close]]-E159)/E159</f>
        <v>4.9460932218636799E-4</v>
      </c>
    </row>
    <row r="161" spans="1:8" x14ac:dyDescent="0.25">
      <c r="A161" s="8">
        <v>43409</v>
      </c>
      <c r="B161" s="4">
        <v>20.120000999999998</v>
      </c>
      <c r="C161" s="4">
        <v>20.18</v>
      </c>
      <c r="D161" s="4">
        <v>18.879999000000002</v>
      </c>
      <c r="E161" s="4">
        <v>19.899999999999999</v>
      </c>
      <c r="F161" s="4">
        <v>19.899999999999999</v>
      </c>
      <c r="G161" s="11">
        <v>108016700</v>
      </c>
      <c r="H161" s="3">
        <f>(AMD[[#This Row],[Close]]-E160)/E160</f>
        <v>-1.6312407315867614E-2</v>
      </c>
    </row>
    <row r="162" spans="1:8" x14ac:dyDescent="0.25">
      <c r="A162" s="8">
        <v>43410</v>
      </c>
      <c r="B162" s="4">
        <v>19.5</v>
      </c>
      <c r="C162" s="4">
        <v>21.65</v>
      </c>
      <c r="D162" s="4">
        <v>19.48</v>
      </c>
      <c r="E162" s="4">
        <v>20.68</v>
      </c>
      <c r="F162" s="4">
        <v>20.68</v>
      </c>
      <c r="G162" s="11">
        <v>144995700</v>
      </c>
      <c r="H162" s="3">
        <f>(AMD[[#This Row],[Close]]-E161)/E161</f>
        <v>3.9195979899497545E-2</v>
      </c>
    </row>
    <row r="163" spans="1:8" x14ac:dyDescent="0.25">
      <c r="A163" s="8">
        <v>43411</v>
      </c>
      <c r="B163" s="4">
        <v>21.42</v>
      </c>
      <c r="C163" s="4">
        <v>22.219999000000001</v>
      </c>
      <c r="D163" s="4">
        <v>21.07</v>
      </c>
      <c r="E163" s="4">
        <v>21.84</v>
      </c>
      <c r="F163" s="4">
        <v>21.84</v>
      </c>
      <c r="G163" s="11">
        <v>121115800</v>
      </c>
      <c r="H163" s="3">
        <f>(AMD[[#This Row],[Close]]-E162)/E162</f>
        <v>5.609284332688589E-2</v>
      </c>
    </row>
    <row r="164" spans="1:8" x14ac:dyDescent="0.25">
      <c r="A164" s="8">
        <v>43412</v>
      </c>
      <c r="B164" s="4">
        <v>21.77</v>
      </c>
      <c r="C164" s="4">
        <v>22.08</v>
      </c>
      <c r="D164" s="4">
        <v>20.969999000000001</v>
      </c>
      <c r="E164" s="4">
        <v>21.200001</v>
      </c>
      <c r="F164" s="4">
        <v>21.200001</v>
      </c>
      <c r="G164" s="11">
        <v>92387600</v>
      </c>
      <c r="H164" s="3">
        <f>(AMD[[#This Row],[Close]]-E163)/E163</f>
        <v>-2.9303983516483497E-2</v>
      </c>
    </row>
    <row r="165" spans="1:8" x14ac:dyDescent="0.25">
      <c r="A165" s="8">
        <v>43413</v>
      </c>
      <c r="B165" s="4">
        <v>20.77</v>
      </c>
      <c r="C165" s="4">
        <v>21.190000999999999</v>
      </c>
      <c r="D165" s="4">
        <v>20.110001</v>
      </c>
      <c r="E165" s="4">
        <v>21.030000999999999</v>
      </c>
      <c r="F165" s="4">
        <v>21.030000999999999</v>
      </c>
      <c r="G165" s="11">
        <v>85900700</v>
      </c>
      <c r="H165" s="3">
        <f>(AMD[[#This Row],[Close]]-E164)/E164</f>
        <v>-8.0188675462799126E-3</v>
      </c>
    </row>
    <row r="166" spans="1:8" x14ac:dyDescent="0.25">
      <c r="A166" s="8">
        <v>43416</v>
      </c>
      <c r="B166" s="4">
        <v>20.68</v>
      </c>
      <c r="C166" s="4">
        <v>20.85</v>
      </c>
      <c r="D166" s="4">
        <v>18.799999</v>
      </c>
      <c r="E166" s="4">
        <v>19.030000999999999</v>
      </c>
      <c r="F166" s="4">
        <v>19.030000999999999</v>
      </c>
      <c r="G166" s="11">
        <v>95948200</v>
      </c>
      <c r="H166" s="3">
        <f>(AMD[[#This Row],[Close]]-E165)/E165</f>
        <v>-9.5102230380302882E-2</v>
      </c>
    </row>
    <row r="167" spans="1:8" x14ac:dyDescent="0.25">
      <c r="A167" s="8">
        <v>43417</v>
      </c>
      <c r="B167" s="4">
        <v>19.280000999999999</v>
      </c>
      <c r="C167" s="4">
        <v>20.02</v>
      </c>
      <c r="D167" s="4">
        <v>18.969999000000001</v>
      </c>
      <c r="E167" s="4">
        <v>19.610001</v>
      </c>
      <c r="F167" s="4">
        <v>19.610001</v>
      </c>
      <c r="G167" s="11">
        <v>76126000</v>
      </c>
      <c r="H167" s="3">
        <f>(AMD[[#This Row],[Close]]-E166)/E166</f>
        <v>3.0478190726316929E-2</v>
      </c>
    </row>
    <row r="168" spans="1:8" x14ac:dyDescent="0.25">
      <c r="A168" s="8">
        <v>43418</v>
      </c>
      <c r="B168" s="4">
        <v>20.18</v>
      </c>
      <c r="C168" s="4">
        <v>21.110001</v>
      </c>
      <c r="D168" s="4">
        <v>19.760000000000002</v>
      </c>
      <c r="E168" s="4">
        <v>20.809999000000001</v>
      </c>
      <c r="F168" s="4">
        <v>20.809999000000001</v>
      </c>
      <c r="G168" s="11">
        <v>106344300</v>
      </c>
      <c r="H168" s="3">
        <f>(AMD[[#This Row],[Close]]-E167)/E167</f>
        <v>6.1193163631149267E-2</v>
      </c>
    </row>
    <row r="169" spans="1:8" x14ac:dyDescent="0.25">
      <c r="A169" s="8">
        <v>43419</v>
      </c>
      <c r="B169" s="4">
        <v>20.719999000000001</v>
      </c>
      <c r="C169" s="4">
        <v>21.77</v>
      </c>
      <c r="D169" s="4">
        <v>20.420000000000002</v>
      </c>
      <c r="E169" s="4">
        <v>21.49</v>
      </c>
      <c r="F169" s="4">
        <v>21.49</v>
      </c>
      <c r="G169" s="11">
        <v>97715500</v>
      </c>
      <c r="H169" s="3">
        <f>(AMD[[#This Row],[Close]]-E168)/E168</f>
        <v>3.2676647413582151E-2</v>
      </c>
    </row>
    <row r="170" spans="1:8" x14ac:dyDescent="0.25">
      <c r="A170" s="8">
        <v>43420</v>
      </c>
      <c r="B170" s="4">
        <v>19.870000999999998</v>
      </c>
      <c r="C170" s="4">
        <v>20.969999000000001</v>
      </c>
      <c r="D170" s="4">
        <v>19.719999000000001</v>
      </c>
      <c r="E170" s="4">
        <v>20.66</v>
      </c>
      <c r="F170" s="4">
        <v>20.66</v>
      </c>
      <c r="G170" s="11">
        <v>112376600</v>
      </c>
      <c r="H170" s="3">
        <f>(AMD[[#This Row],[Close]]-E169)/E169</f>
        <v>-3.8622615169846365E-2</v>
      </c>
    </row>
    <row r="171" spans="1:8" x14ac:dyDescent="0.25">
      <c r="A171" s="8">
        <v>43423</v>
      </c>
      <c r="B171" s="4">
        <v>20.399999999999999</v>
      </c>
      <c r="C171" s="4">
        <v>20.59</v>
      </c>
      <c r="D171" s="4">
        <v>19.09</v>
      </c>
      <c r="E171" s="4">
        <v>19.110001</v>
      </c>
      <c r="F171" s="4">
        <v>19.110001</v>
      </c>
      <c r="G171" s="11">
        <v>93578200</v>
      </c>
      <c r="H171" s="3">
        <f>(AMD[[#This Row],[Close]]-E170)/E170</f>
        <v>-7.5024152952565329E-2</v>
      </c>
    </row>
    <row r="172" spans="1:8" x14ac:dyDescent="0.25">
      <c r="A172" s="8">
        <v>43424</v>
      </c>
      <c r="B172" s="4">
        <v>17.399999999999999</v>
      </c>
      <c r="C172" s="4">
        <v>19.579999999999998</v>
      </c>
      <c r="D172" s="4">
        <v>17.18</v>
      </c>
      <c r="E172" s="4">
        <v>19.209999</v>
      </c>
      <c r="F172" s="4">
        <v>19.209999</v>
      </c>
      <c r="G172" s="11">
        <v>109869400</v>
      </c>
      <c r="H172" s="3">
        <f>(AMD[[#This Row],[Close]]-E171)/E171</f>
        <v>5.232757444648975E-3</v>
      </c>
    </row>
    <row r="173" spans="1:8" x14ac:dyDescent="0.25">
      <c r="A173" s="8">
        <v>43425</v>
      </c>
      <c r="B173" s="4">
        <v>20.049999</v>
      </c>
      <c r="C173" s="4">
        <v>20.309999000000001</v>
      </c>
      <c r="D173" s="4">
        <v>18.5</v>
      </c>
      <c r="E173" s="4">
        <v>18.73</v>
      </c>
      <c r="F173" s="4">
        <v>18.73</v>
      </c>
      <c r="G173" s="11">
        <v>81585600</v>
      </c>
      <c r="H173" s="3">
        <f>(AMD[[#This Row],[Close]]-E172)/E172</f>
        <v>-2.4986935189325071E-2</v>
      </c>
    </row>
    <row r="174" spans="1:8" x14ac:dyDescent="0.25">
      <c r="A174" s="8">
        <v>43427</v>
      </c>
      <c r="B174" s="4">
        <v>18.610001</v>
      </c>
      <c r="C174" s="4">
        <v>19.829999999999998</v>
      </c>
      <c r="D174" s="4">
        <v>18.559999000000001</v>
      </c>
      <c r="E174" s="4">
        <v>19.379999000000002</v>
      </c>
      <c r="F174" s="4">
        <v>19.379999000000002</v>
      </c>
      <c r="G174" s="11">
        <v>54611300</v>
      </c>
      <c r="H174" s="3">
        <f>(AMD[[#This Row],[Close]]-E173)/E173</f>
        <v>3.4703630539241914E-2</v>
      </c>
    </row>
    <row r="175" spans="1:8" x14ac:dyDescent="0.25">
      <c r="A175" s="8">
        <v>43430</v>
      </c>
      <c r="B175" s="4">
        <v>19.959999</v>
      </c>
      <c r="C175" s="4">
        <v>20.190000999999999</v>
      </c>
      <c r="D175" s="4">
        <v>19.110001</v>
      </c>
      <c r="E175" s="4">
        <v>20.079999999999998</v>
      </c>
      <c r="F175" s="4">
        <v>20.079999999999998</v>
      </c>
      <c r="G175" s="11">
        <v>83211000</v>
      </c>
      <c r="H175" s="3">
        <f>(AMD[[#This Row],[Close]]-E174)/E174</f>
        <v>3.6119764505663635E-2</v>
      </c>
    </row>
    <row r="176" spans="1:8" x14ac:dyDescent="0.25">
      <c r="A176" s="8">
        <v>43431</v>
      </c>
      <c r="B176" s="4">
        <v>19.77</v>
      </c>
      <c r="C176" s="4">
        <v>21.450001</v>
      </c>
      <c r="D176" s="4">
        <v>19.73</v>
      </c>
      <c r="E176" s="4">
        <v>21.049999</v>
      </c>
      <c r="F176" s="4">
        <v>21.049999</v>
      </c>
      <c r="G176" s="11">
        <v>119230100</v>
      </c>
      <c r="H176" s="3">
        <f>(AMD[[#This Row],[Close]]-E175)/E175</f>
        <v>4.8306723107569796E-2</v>
      </c>
    </row>
    <row r="177" spans="1:8" x14ac:dyDescent="0.25">
      <c r="A177" s="8">
        <v>43432</v>
      </c>
      <c r="B177" s="4">
        <v>21.82</v>
      </c>
      <c r="C177" s="4">
        <v>21.879999000000002</v>
      </c>
      <c r="D177" s="4">
        <v>20.18</v>
      </c>
      <c r="E177" s="4">
        <v>21.34</v>
      </c>
      <c r="F177" s="4">
        <v>21.34</v>
      </c>
      <c r="G177" s="11">
        <v>134425300</v>
      </c>
      <c r="H177" s="3">
        <f>(AMD[[#This Row],[Close]]-E176)/E176</f>
        <v>1.377677025067793E-2</v>
      </c>
    </row>
    <row r="178" spans="1:8" x14ac:dyDescent="0.25">
      <c r="A178" s="8">
        <v>43433</v>
      </c>
      <c r="B178" s="4">
        <v>21.190000999999999</v>
      </c>
      <c r="C178" s="4">
        <v>21.610001</v>
      </c>
      <c r="D178" s="4">
        <v>20.73</v>
      </c>
      <c r="E178" s="4">
        <v>21.43</v>
      </c>
      <c r="F178" s="4">
        <v>21.43</v>
      </c>
      <c r="G178" s="11">
        <v>79853700</v>
      </c>
      <c r="H178" s="3">
        <f>(AMD[[#This Row],[Close]]-E177)/E177</f>
        <v>4.2174320524835923E-3</v>
      </c>
    </row>
    <row r="179" spans="1:8" x14ac:dyDescent="0.25">
      <c r="A179" s="8">
        <v>43434</v>
      </c>
      <c r="B179" s="4">
        <v>21.299999</v>
      </c>
      <c r="C179" s="4">
        <v>21.360001</v>
      </c>
      <c r="D179" s="4">
        <v>20.52</v>
      </c>
      <c r="E179" s="4">
        <v>21.299999</v>
      </c>
      <c r="F179" s="4">
        <v>21.299999</v>
      </c>
      <c r="G179" s="11">
        <v>82370700</v>
      </c>
      <c r="H179" s="3">
        <f>(AMD[[#This Row],[Close]]-E178)/E178</f>
        <v>-6.0663089127391528E-3</v>
      </c>
    </row>
    <row r="180" spans="1:8" x14ac:dyDescent="0.25">
      <c r="A180" s="8">
        <v>43437</v>
      </c>
      <c r="B180" s="4">
        <v>22.48</v>
      </c>
      <c r="C180" s="4">
        <v>23.75</v>
      </c>
      <c r="D180" s="4">
        <v>22.370000999999998</v>
      </c>
      <c r="E180" s="4">
        <v>23.709999</v>
      </c>
      <c r="F180" s="4">
        <v>23.709999</v>
      </c>
      <c r="G180" s="11">
        <v>139607400</v>
      </c>
      <c r="H180" s="3">
        <f>(AMD[[#This Row],[Close]]-E179)/E179</f>
        <v>0.11314554521810072</v>
      </c>
    </row>
    <row r="181" spans="1:8" x14ac:dyDescent="0.25">
      <c r="A181" s="8">
        <v>43438</v>
      </c>
      <c r="B181" s="4">
        <v>23.35</v>
      </c>
      <c r="C181" s="4">
        <v>23.42</v>
      </c>
      <c r="D181" s="4">
        <v>21.07</v>
      </c>
      <c r="E181" s="4">
        <v>21.120000999999998</v>
      </c>
      <c r="F181" s="4">
        <v>21.120000999999998</v>
      </c>
      <c r="G181" s="11">
        <v>127392900</v>
      </c>
      <c r="H181" s="3">
        <f>(AMD[[#This Row],[Close]]-E180)/E180</f>
        <v>-0.10923652928032605</v>
      </c>
    </row>
    <row r="182" spans="1:8" x14ac:dyDescent="0.25">
      <c r="A182" s="8">
        <v>43440</v>
      </c>
      <c r="B182" s="4">
        <v>20.219999000000001</v>
      </c>
      <c r="C182" s="4">
        <v>21.41</v>
      </c>
      <c r="D182" s="4">
        <v>20.059999000000001</v>
      </c>
      <c r="E182" s="4">
        <v>21.299999</v>
      </c>
      <c r="F182" s="4">
        <v>21.299999</v>
      </c>
      <c r="G182" s="11">
        <v>103434700</v>
      </c>
      <c r="H182" s="3">
        <f>(AMD[[#This Row],[Close]]-E181)/E181</f>
        <v>8.5226321722239127E-3</v>
      </c>
    </row>
    <row r="183" spans="1:8" x14ac:dyDescent="0.25">
      <c r="A183" s="8">
        <v>43441</v>
      </c>
      <c r="B183" s="4">
        <v>21.299999</v>
      </c>
      <c r="C183" s="4">
        <v>21.379999000000002</v>
      </c>
      <c r="D183" s="4">
        <v>19.170000000000002</v>
      </c>
      <c r="E183" s="4">
        <v>19.459999</v>
      </c>
      <c r="F183" s="4">
        <v>19.459999</v>
      </c>
      <c r="G183" s="11">
        <v>105764500</v>
      </c>
      <c r="H183" s="3">
        <f>(AMD[[#This Row],[Close]]-E182)/E182</f>
        <v>-8.6384980581454482E-2</v>
      </c>
    </row>
    <row r="184" spans="1:8" x14ac:dyDescent="0.25">
      <c r="A184" s="8">
        <v>43444</v>
      </c>
      <c r="B184" s="4">
        <v>19.350000000000001</v>
      </c>
      <c r="C184" s="4">
        <v>20.129999000000002</v>
      </c>
      <c r="D184" s="4">
        <v>19.27</v>
      </c>
      <c r="E184" s="4">
        <v>19.989999999999998</v>
      </c>
      <c r="F184" s="4">
        <v>19.989999999999998</v>
      </c>
      <c r="G184" s="11">
        <v>77984500</v>
      </c>
      <c r="H184" s="3">
        <f>(AMD[[#This Row],[Close]]-E183)/E183</f>
        <v>2.7235407360503904E-2</v>
      </c>
    </row>
    <row r="185" spans="1:8" x14ac:dyDescent="0.25">
      <c r="A185" s="8">
        <v>43445</v>
      </c>
      <c r="B185" s="4">
        <v>20.709999</v>
      </c>
      <c r="C185" s="4">
        <v>21.139999</v>
      </c>
      <c r="D185" s="4">
        <v>19.690000999999999</v>
      </c>
      <c r="E185" s="4">
        <v>19.98</v>
      </c>
      <c r="F185" s="4">
        <v>19.98</v>
      </c>
      <c r="G185" s="11">
        <v>88027400</v>
      </c>
      <c r="H185" s="3">
        <f>(AMD[[#This Row],[Close]]-E184)/E184</f>
        <v>-5.0025012506243181E-4</v>
      </c>
    </row>
    <row r="186" spans="1:8" x14ac:dyDescent="0.25">
      <c r="A186" s="8">
        <v>43446</v>
      </c>
      <c r="B186" s="4">
        <v>20.32</v>
      </c>
      <c r="C186" s="4">
        <v>21.02</v>
      </c>
      <c r="D186" s="4">
        <v>19.709999</v>
      </c>
      <c r="E186" s="4">
        <v>20.48</v>
      </c>
      <c r="F186" s="4">
        <v>20.48</v>
      </c>
      <c r="G186" s="11">
        <v>100340700</v>
      </c>
      <c r="H186" s="3">
        <f>(AMD[[#This Row],[Close]]-E185)/E185</f>
        <v>2.5025025025025023E-2</v>
      </c>
    </row>
    <row r="187" spans="1:8" x14ac:dyDescent="0.25">
      <c r="A187" s="8">
        <v>43447</v>
      </c>
      <c r="B187" s="4">
        <v>20.629999000000002</v>
      </c>
      <c r="C187" s="4">
        <v>20.870000999999998</v>
      </c>
      <c r="D187" s="4">
        <v>19.760000000000002</v>
      </c>
      <c r="E187" s="4">
        <v>19.860001</v>
      </c>
      <c r="F187" s="4">
        <v>19.860001</v>
      </c>
      <c r="G187" s="11">
        <v>88108300</v>
      </c>
      <c r="H187" s="3">
        <f>(AMD[[#This Row],[Close]]-E186)/E186</f>
        <v>-3.0273388671874998E-2</v>
      </c>
    </row>
    <row r="188" spans="1:8" x14ac:dyDescent="0.25">
      <c r="A188" s="8">
        <v>43448</v>
      </c>
      <c r="B188" s="4">
        <v>19.579999999999998</v>
      </c>
      <c r="C188" s="4">
        <v>20.700001</v>
      </c>
      <c r="D188" s="4">
        <v>19.52</v>
      </c>
      <c r="E188" s="4">
        <v>19.899999999999999</v>
      </c>
      <c r="F188" s="4">
        <v>19.899999999999999</v>
      </c>
      <c r="G188" s="11">
        <v>84713600</v>
      </c>
      <c r="H188" s="3">
        <f>(AMD[[#This Row],[Close]]-E187)/E187</f>
        <v>2.0140482369561874E-3</v>
      </c>
    </row>
    <row r="189" spans="1:8" x14ac:dyDescent="0.25">
      <c r="A189" s="8">
        <v>43451</v>
      </c>
      <c r="B189" s="4">
        <v>20.010000000000002</v>
      </c>
      <c r="C189" s="4">
        <v>20.02</v>
      </c>
      <c r="D189" s="4">
        <v>18.639999</v>
      </c>
      <c r="E189" s="4">
        <v>18.829999999999998</v>
      </c>
      <c r="F189" s="4">
        <v>18.829999999999998</v>
      </c>
      <c r="G189" s="11">
        <v>115437900</v>
      </c>
      <c r="H189" s="3">
        <f>(AMD[[#This Row],[Close]]-E188)/E188</f>
        <v>-5.3768844221105547E-2</v>
      </c>
    </row>
    <row r="190" spans="1:8" x14ac:dyDescent="0.25">
      <c r="A190" s="8">
        <v>43452</v>
      </c>
      <c r="B190" s="4">
        <v>19.149999999999999</v>
      </c>
      <c r="C190" s="4">
        <v>19.84</v>
      </c>
      <c r="D190" s="4">
        <v>18.879999000000002</v>
      </c>
      <c r="E190" s="4">
        <v>19.5</v>
      </c>
      <c r="F190" s="4">
        <v>19.5</v>
      </c>
      <c r="G190" s="11">
        <v>101512900</v>
      </c>
      <c r="H190" s="3">
        <f>(AMD[[#This Row],[Close]]-E189)/E189</f>
        <v>3.5581518852894414E-2</v>
      </c>
    </row>
    <row r="191" spans="1:8" x14ac:dyDescent="0.25">
      <c r="A191" s="8">
        <v>43453</v>
      </c>
      <c r="B191" s="4">
        <v>19.440000999999999</v>
      </c>
      <c r="C191" s="4">
        <v>19.719999000000001</v>
      </c>
      <c r="D191" s="4">
        <v>18</v>
      </c>
      <c r="E191" s="4">
        <v>18.16</v>
      </c>
      <c r="F191" s="4">
        <v>18.16</v>
      </c>
      <c r="G191" s="11">
        <v>120644500</v>
      </c>
      <c r="H191" s="3">
        <f>(AMD[[#This Row],[Close]]-E190)/E190</f>
        <v>-6.8717948717948715E-2</v>
      </c>
    </row>
    <row r="192" spans="1:8" x14ac:dyDescent="0.25">
      <c r="A192" s="8">
        <v>43454</v>
      </c>
      <c r="B192" s="4">
        <v>18.110001</v>
      </c>
      <c r="C192" s="4">
        <v>18.860001</v>
      </c>
      <c r="D192" s="4">
        <v>17.34</v>
      </c>
      <c r="E192" s="4">
        <v>17.940000999999999</v>
      </c>
      <c r="F192" s="4">
        <v>17.940000999999999</v>
      </c>
      <c r="G192" s="11">
        <v>119394500</v>
      </c>
      <c r="H192" s="3">
        <f>(AMD[[#This Row],[Close]]-E191)/E191</f>
        <v>-1.2114482378854702E-2</v>
      </c>
    </row>
    <row r="193" spans="1:8" x14ac:dyDescent="0.25">
      <c r="A193" s="8">
        <v>43455</v>
      </c>
      <c r="B193" s="4">
        <v>18.120000999999998</v>
      </c>
      <c r="C193" s="4">
        <v>18.34</v>
      </c>
      <c r="D193" s="4">
        <v>16.760000000000002</v>
      </c>
      <c r="E193" s="4">
        <v>16.93</v>
      </c>
      <c r="F193" s="4">
        <v>16.93</v>
      </c>
      <c r="G193" s="11">
        <v>132246000</v>
      </c>
      <c r="H193" s="3">
        <f>(AMD[[#This Row],[Close]]-E192)/E192</f>
        <v>-5.6298826293264929E-2</v>
      </c>
    </row>
    <row r="194" spans="1:8" x14ac:dyDescent="0.25">
      <c r="A194" s="8">
        <v>43458</v>
      </c>
      <c r="B194" s="4">
        <v>16.52</v>
      </c>
      <c r="C194" s="4">
        <v>17.219999000000001</v>
      </c>
      <c r="D194" s="4">
        <v>16.370000999999998</v>
      </c>
      <c r="E194" s="4">
        <v>16.649999999999999</v>
      </c>
      <c r="F194" s="4">
        <v>16.649999999999999</v>
      </c>
      <c r="G194" s="11">
        <v>62933100</v>
      </c>
      <c r="H194" s="3">
        <f>(AMD[[#This Row],[Close]]-E193)/E193</f>
        <v>-1.653868871825169E-2</v>
      </c>
    </row>
    <row r="195" spans="1:8" x14ac:dyDescent="0.25">
      <c r="A195" s="8">
        <v>43460</v>
      </c>
      <c r="B195" s="4">
        <v>16.879999000000002</v>
      </c>
      <c r="C195" s="4">
        <v>17.91</v>
      </c>
      <c r="D195" s="4">
        <v>16.030000999999999</v>
      </c>
      <c r="E195" s="4">
        <v>17.899999999999999</v>
      </c>
      <c r="F195" s="4">
        <v>17.899999999999999</v>
      </c>
      <c r="G195" s="11">
        <v>108811800</v>
      </c>
      <c r="H195" s="3">
        <f>(AMD[[#This Row],[Close]]-E194)/E194</f>
        <v>7.5075075075075076E-2</v>
      </c>
    </row>
    <row r="196" spans="1:8" x14ac:dyDescent="0.25">
      <c r="A196" s="8">
        <v>43461</v>
      </c>
      <c r="B196" s="4">
        <v>17.43</v>
      </c>
      <c r="C196" s="4">
        <v>17.739999999999998</v>
      </c>
      <c r="D196" s="4">
        <v>16.440000999999999</v>
      </c>
      <c r="E196" s="4">
        <v>17.489999999999998</v>
      </c>
      <c r="F196" s="4">
        <v>17.489999999999998</v>
      </c>
      <c r="G196" s="11">
        <v>111373000</v>
      </c>
      <c r="H196" s="3">
        <f>(AMD[[#This Row],[Close]]-E195)/E195</f>
        <v>-2.2905027932960904E-2</v>
      </c>
    </row>
    <row r="197" spans="1:8" x14ac:dyDescent="0.25">
      <c r="A197" s="8">
        <v>43462</v>
      </c>
      <c r="B197" s="4">
        <v>17.530000999999999</v>
      </c>
      <c r="C197" s="4">
        <v>18.309999000000001</v>
      </c>
      <c r="D197" s="4">
        <v>17.139999</v>
      </c>
      <c r="E197" s="4">
        <v>17.82</v>
      </c>
      <c r="F197" s="4">
        <v>17.82</v>
      </c>
      <c r="G197" s="11">
        <v>109214400</v>
      </c>
      <c r="H197" s="3">
        <f>(AMD[[#This Row],[Close]]-E196)/E196</f>
        <v>1.8867924528301994E-2</v>
      </c>
    </row>
    <row r="198" spans="1:8" x14ac:dyDescent="0.25">
      <c r="A198" s="8">
        <v>43465</v>
      </c>
      <c r="B198" s="4">
        <v>18.149999999999999</v>
      </c>
      <c r="C198" s="4">
        <v>18.510000000000002</v>
      </c>
      <c r="D198" s="4">
        <v>17.850000000000001</v>
      </c>
      <c r="E198" s="4">
        <v>18.459999</v>
      </c>
      <c r="F198" s="4">
        <v>18.459999</v>
      </c>
      <c r="G198" s="11">
        <v>84732200</v>
      </c>
      <c r="H198" s="3">
        <f>(AMD[[#This Row],[Close]]-E197)/E197</f>
        <v>3.5914646464646441E-2</v>
      </c>
    </row>
    <row r="199" spans="1:8" x14ac:dyDescent="0.25">
      <c r="A199" s="8">
        <v>43467</v>
      </c>
      <c r="B199" s="4">
        <v>18.010000000000002</v>
      </c>
      <c r="C199" s="4">
        <v>19</v>
      </c>
      <c r="D199" s="4">
        <v>17.98</v>
      </c>
      <c r="E199" s="4">
        <v>18.829999999999998</v>
      </c>
      <c r="F199" s="4">
        <v>18.829999999999998</v>
      </c>
      <c r="G199" s="11">
        <v>87148700</v>
      </c>
      <c r="H199" s="3">
        <f>(AMD[[#This Row],[Close]]-E198)/E198</f>
        <v>2.0043392201700469E-2</v>
      </c>
    </row>
    <row r="200" spans="1:8" x14ac:dyDescent="0.25">
      <c r="A200" s="8">
        <v>43468</v>
      </c>
      <c r="B200" s="4">
        <v>18.420000000000002</v>
      </c>
      <c r="C200" s="4">
        <v>18.68</v>
      </c>
      <c r="D200" s="4">
        <v>16.940000999999999</v>
      </c>
      <c r="E200" s="4">
        <v>17.049999</v>
      </c>
      <c r="F200" s="4">
        <v>17.049999</v>
      </c>
      <c r="G200" s="11">
        <v>117277600</v>
      </c>
      <c r="H200" s="3">
        <f>(AMD[[#This Row],[Close]]-E199)/E199</f>
        <v>-9.4530058417418947E-2</v>
      </c>
    </row>
    <row r="201" spans="1:8" x14ac:dyDescent="0.25">
      <c r="A201" s="8">
        <v>43469</v>
      </c>
      <c r="B201" s="4">
        <v>17.549999</v>
      </c>
      <c r="C201" s="4">
        <v>19.07</v>
      </c>
      <c r="D201" s="4">
        <v>17.43</v>
      </c>
      <c r="E201" s="4">
        <v>19</v>
      </c>
      <c r="F201" s="4">
        <v>19</v>
      </c>
      <c r="G201" s="11">
        <v>111878600</v>
      </c>
      <c r="H201" s="3">
        <f>(AMD[[#This Row],[Close]]-E200)/E200</f>
        <v>0.11436956682519456</v>
      </c>
    </row>
    <row r="202" spans="1:8" x14ac:dyDescent="0.25">
      <c r="A202" s="8">
        <v>43472</v>
      </c>
      <c r="B202" s="4">
        <v>19.440000999999999</v>
      </c>
      <c r="C202" s="4">
        <v>20.68</v>
      </c>
      <c r="D202" s="4">
        <v>19</v>
      </c>
      <c r="E202" s="4">
        <v>20.57</v>
      </c>
      <c r="F202" s="4">
        <v>20.57</v>
      </c>
      <c r="G202" s="11">
        <v>107157000</v>
      </c>
      <c r="H202" s="3">
        <f>(AMD[[#This Row],[Close]]-E201)/E201</f>
        <v>8.2631578947368431E-2</v>
      </c>
    </row>
    <row r="203" spans="1:8" x14ac:dyDescent="0.25">
      <c r="A203" s="8">
        <v>43473</v>
      </c>
      <c r="B203" s="4">
        <v>21.190000999999999</v>
      </c>
      <c r="C203" s="4">
        <v>21.200001</v>
      </c>
      <c r="D203" s="4">
        <v>19.68</v>
      </c>
      <c r="E203" s="4">
        <v>20.75</v>
      </c>
      <c r="F203" s="4">
        <v>20.75</v>
      </c>
      <c r="G203" s="11">
        <v>121271000</v>
      </c>
      <c r="H203" s="3">
        <f>(AMD[[#This Row],[Close]]-E202)/E202</f>
        <v>8.7506076810889514E-3</v>
      </c>
    </row>
    <row r="204" spans="1:8" x14ac:dyDescent="0.25">
      <c r="A204" s="8">
        <v>43474</v>
      </c>
      <c r="B204" s="4">
        <v>20.889999</v>
      </c>
      <c r="C204" s="4">
        <v>21.440000999999999</v>
      </c>
      <c r="D204" s="4">
        <v>20.07</v>
      </c>
      <c r="E204" s="4">
        <v>20.190000999999999</v>
      </c>
      <c r="F204" s="4">
        <v>20.190000999999999</v>
      </c>
      <c r="G204" s="11">
        <v>163944100</v>
      </c>
      <c r="H204" s="3">
        <f>(AMD[[#This Row],[Close]]-E203)/E203</f>
        <v>-2.6987903614457891E-2</v>
      </c>
    </row>
    <row r="205" spans="1:8" x14ac:dyDescent="0.25">
      <c r="A205" s="8">
        <v>43475</v>
      </c>
      <c r="B205" s="4">
        <v>19.760000000000002</v>
      </c>
      <c r="C205" s="4">
        <v>19.829999999999998</v>
      </c>
      <c r="D205" s="4">
        <v>18.899999999999999</v>
      </c>
      <c r="E205" s="4">
        <v>19.739999999999998</v>
      </c>
      <c r="F205" s="4">
        <v>19.739999999999998</v>
      </c>
      <c r="G205" s="11">
        <v>115629400</v>
      </c>
      <c r="H205" s="3">
        <f>(AMD[[#This Row],[Close]]-E204)/E204</f>
        <v>-2.2288309941143655E-2</v>
      </c>
    </row>
    <row r="206" spans="1:8" x14ac:dyDescent="0.25">
      <c r="A206" s="8">
        <v>43476</v>
      </c>
      <c r="B206" s="4">
        <v>19.469999000000001</v>
      </c>
      <c r="C206" s="4">
        <v>20.350000000000001</v>
      </c>
      <c r="D206" s="4">
        <v>19.190000999999999</v>
      </c>
      <c r="E206" s="4">
        <v>20.27</v>
      </c>
      <c r="F206" s="4">
        <v>20.27</v>
      </c>
      <c r="G206" s="11">
        <v>85110800</v>
      </c>
      <c r="H206" s="3">
        <f>(AMD[[#This Row],[Close]]-E205)/E205</f>
        <v>2.6849037487335418E-2</v>
      </c>
    </row>
    <row r="207" spans="1:8" x14ac:dyDescent="0.25">
      <c r="A207" s="8">
        <v>43479</v>
      </c>
      <c r="B207" s="4">
        <v>19.959999</v>
      </c>
      <c r="C207" s="4">
        <v>20.620000999999998</v>
      </c>
      <c r="D207" s="4">
        <v>19.75</v>
      </c>
      <c r="E207" s="4">
        <v>20.23</v>
      </c>
      <c r="F207" s="4">
        <v>20.23</v>
      </c>
      <c r="G207" s="11">
        <v>71350200</v>
      </c>
      <c r="H207" s="3">
        <f>(AMD[[#This Row],[Close]]-E206)/E206</f>
        <v>-1.973359644795222E-3</v>
      </c>
    </row>
    <row r="208" spans="1:8" x14ac:dyDescent="0.25">
      <c r="A208" s="8">
        <v>43480</v>
      </c>
      <c r="B208" s="4">
        <v>20.440000999999999</v>
      </c>
      <c r="C208" s="4">
        <v>20.68</v>
      </c>
      <c r="D208" s="4">
        <v>20.260000000000002</v>
      </c>
      <c r="E208" s="4">
        <v>20.379999000000002</v>
      </c>
      <c r="F208" s="4">
        <v>20.379999000000002</v>
      </c>
      <c r="G208" s="11">
        <v>62785800</v>
      </c>
      <c r="H208" s="3">
        <f>(AMD[[#This Row],[Close]]-E207)/E207</f>
        <v>7.4146811665843351E-3</v>
      </c>
    </row>
    <row r="209" spans="1:8" x14ac:dyDescent="0.25">
      <c r="A209" s="8">
        <v>43481</v>
      </c>
      <c r="B209" s="4">
        <v>20.399999999999999</v>
      </c>
      <c r="C209" s="4">
        <v>20.540001</v>
      </c>
      <c r="D209" s="4">
        <v>19.709999</v>
      </c>
      <c r="E209" s="4">
        <v>19.73</v>
      </c>
      <c r="F209" s="4">
        <v>19.73</v>
      </c>
      <c r="G209" s="11">
        <v>70849300</v>
      </c>
      <c r="H209" s="3">
        <f>(AMD[[#This Row],[Close]]-E208)/E208</f>
        <v>-3.1893966236210367E-2</v>
      </c>
    </row>
    <row r="210" spans="1:8" x14ac:dyDescent="0.25">
      <c r="A210" s="8">
        <v>43482</v>
      </c>
      <c r="B210" s="4">
        <v>19.489999999999998</v>
      </c>
      <c r="C210" s="4">
        <v>20.51</v>
      </c>
      <c r="D210" s="4">
        <v>19.02</v>
      </c>
      <c r="E210" s="4">
        <v>20.25</v>
      </c>
      <c r="F210" s="4">
        <v>20.25</v>
      </c>
      <c r="G210" s="11">
        <v>85018400</v>
      </c>
      <c r="H210" s="3">
        <f>(AMD[[#This Row],[Close]]-E209)/E209</f>
        <v>2.6355803345159634E-2</v>
      </c>
    </row>
    <row r="211" spans="1:8" x14ac:dyDescent="0.25">
      <c r="A211" s="8">
        <v>43483</v>
      </c>
      <c r="B211" s="4">
        <v>20.370000999999998</v>
      </c>
      <c r="C211" s="4">
        <v>21.049999</v>
      </c>
      <c r="D211" s="4">
        <v>20.02</v>
      </c>
      <c r="E211" s="4">
        <v>20.77</v>
      </c>
      <c r="F211" s="4">
        <v>20.77</v>
      </c>
      <c r="G211" s="11">
        <v>88131000</v>
      </c>
      <c r="H211" s="3">
        <f>(AMD[[#This Row],[Close]]-E210)/E210</f>
        <v>2.567901234567899E-2</v>
      </c>
    </row>
    <row r="212" spans="1:8" x14ac:dyDescent="0.25">
      <c r="A212" s="8">
        <v>43487</v>
      </c>
      <c r="B212" s="4">
        <v>20.48</v>
      </c>
      <c r="C212" s="4">
        <v>20.92</v>
      </c>
      <c r="D212" s="4">
        <v>19.700001</v>
      </c>
      <c r="E212" s="4">
        <v>19.760000000000002</v>
      </c>
      <c r="F212" s="4">
        <v>19.760000000000002</v>
      </c>
      <c r="G212" s="11">
        <v>78513700</v>
      </c>
      <c r="H212" s="3">
        <f>(AMD[[#This Row],[Close]]-E211)/E211</f>
        <v>-4.8627828598940687E-2</v>
      </c>
    </row>
    <row r="213" spans="1:8" x14ac:dyDescent="0.25">
      <c r="A213" s="8">
        <v>43488</v>
      </c>
      <c r="B213" s="4">
        <v>20.030000999999999</v>
      </c>
      <c r="C213" s="4">
        <v>20.48</v>
      </c>
      <c r="D213" s="4">
        <v>19.549999</v>
      </c>
      <c r="E213" s="4">
        <v>19.799999</v>
      </c>
      <c r="F213" s="4">
        <v>19.799999</v>
      </c>
      <c r="G213" s="11">
        <v>77811300</v>
      </c>
      <c r="H213" s="3">
        <f>(AMD[[#This Row],[Close]]-E212)/E212</f>
        <v>2.0242408906881639E-3</v>
      </c>
    </row>
    <row r="214" spans="1:8" x14ac:dyDescent="0.25">
      <c r="A214" s="8">
        <v>43489</v>
      </c>
      <c r="B214" s="4">
        <v>20.059999000000001</v>
      </c>
      <c r="C214" s="4">
        <v>21.01</v>
      </c>
      <c r="D214" s="4">
        <v>20.040001</v>
      </c>
      <c r="E214" s="4">
        <v>20.85</v>
      </c>
      <c r="F214" s="4">
        <v>20.85</v>
      </c>
      <c r="G214" s="11">
        <v>97433400</v>
      </c>
      <c r="H214" s="3">
        <f>(AMD[[#This Row],[Close]]-E213)/E213</f>
        <v>5.3030356213654442E-2</v>
      </c>
    </row>
    <row r="215" spans="1:8" x14ac:dyDescent="0.25">
      <c r="A215" s="8">
        <v>43490</v>
      </c>
      <c r="B215" s="4">
        <v>20.99</v>
      </c>
      <c r="C215" s="4">
        <v>22.030000999999999</v>
      </c>
      <c r="D215" s="4">
        <v>20.790001</v>
      </c>
      <c r="E215" s="4">
        <v>21.93</v>
      </c>
      <c r="F215" s="4">
        <v>21.93</v>
      </c>
      <c r="G215" s="11">
        <v>110239500</v>
      </c>
      <c r="H215" s="3">
        <f>(AMD[[#This Row],[Close]]-E214)/E214</f>
        <v>5.1798561151079052E-2</v>
      </c>
    </row>
    <row r="216" spans="1:8" x14ac:dyDescent="0.25">
      <c r="A216" s="8">
        <v>43493</v>
      </c>
      <c r="B216" s="4">
        <v>20.32</v>
      </c>
      <c r="C216" s="4">
        <v>21.01</v>
      </c>
      <c r="D216" s="4">
        <v>20.02</v>
      </c>
      <c r="E216" s="4">
        <v>20.18</v>
      </c>
      <c r="F216" s="4">
        <v>20.18</v>
      </c>
      <c r="G216" s="11">
        <v>135164100</v>
      </c>
      <c r="H216" s="3">
        <f>(AMD[[#This Row],[Close]]-E215)/E215</f>
        <v>-7.9799361605107158E-2</v>
      </c>
    </row>
    <row r="217" spans="1:8" x14ac:dyDescent="0.25">
      <c r="A217" s="8">
        <v>43494</v>
      </c>
      <c r="B217" s="4">
        <v>20.260000000000002</v>
      </c>
      <c r="C217" s="4">
        <v>20.389999</v>
      </c>
      <c r="D217" s="4">
        <v>19.049999</v>
      </c>
      <c r="E217" s="4">
        <v>19.25</v>
      </c>
      <c r="F217" s="4">
        <v>19.25</v>
      </c>
      <c r="G217" s="11">
        <v>131202500</v>
      </c>
      <c r="H217" s="3">
        <f>(AMD[[#This Row],[Close]]-E216)/E216</f>
        <v>-4.6085232903865202E-2</v>
      </c>
    </row>
    <row r="218" spans="1:8" x14ac:dyDescent="0.25">
      <c r="A218" s="8">
        <v>43495</v>
      </c>
      <c r="B218" s="4">
        <v>21.49</v>
      </c>
      <c r="C218" s="4">
        <v>23.129999000000002</v>
      </c>
      <c r="D218" s="4">
        <v>21.370000999999998</v>
      </c>
      <c r="E218" s="4">
        <v>23.09</v>
      </c>
      <c r="F218" s="4">
        <v>23.09</v>
      </c>
      <c r="G218" s="11">
        <v>211421200</v>
      </c>
      <c r="H218" s="3">
        <f>(AMD[[#This Row],[Close]]-E217)/E217</f>
        <v>0.19948051948051948</v>
      </c>
    </row>
    <row r="219" spans="1:8" x14ac:dyDescent="0.25">
      <c r="A219" s="8">
        <v>43496</v>
      </c>
      <c r="B219" s="4">
        <v>23.02</v>
      </c>
      <c r="C219" s="4">
        <v>25.139999</v>
      </c>
      <c r="D219" s="4">
        <v>22.83</v>
      </c>
      <c r="E219" s="4">
        <v>24.41</v>
      </c>
      <c r="F219" s="4">
        <v>24.41</v>
      </c>
      <c r="G219" s="11">
        <v>182575600</v>
      </c>
      <c r="H219" s="3">
        <f>(AMD[[#This Row],[Close]]-E218)/E218</f>
        <v>5.7167605023819845E-2</v>
      </c>
    </row>
    <row r="220" spans="1:8" x14ac:dyDescent="0.25">
      <c r="A220" s="8">
        <v>43497</v>
      </c>
      <c r="B220" s="4">
        <v>24.610001</v>
      </c>
      <c r="C220" s="4">
        <v>24.84</v>
      </c>
      <c r="D220" s="4">
        <v>24.07</v>
      </c>
      <c r="E220" s="4">
        <v>24.51</v>
      </c>
      <c r="F220" s="4">
        <v>24.51</v>
      </c>
      <c r="G220" s="11">
        <v>105356200</v>
      </c>
      <c r="H220" s="3">
        <f>(AMD[[#This Row],[Close]]-E219)/E219</f>
        <v>4.0966816878329135E-3</v>
      </c>
    </row>
    <row r="221" spans="1:8" x14ac:dyDescent="0.25">
      <c r="A221" s="8">
        <v>43500</v>
      </c>
      <c r="B221" s="4">
        <v>24.43</v>
      </c>
      <c r="C221" s="4">
        <v>24.66</v>
      </c>
      <c r="D221" s="4">
        <v>24.07</v>
      </c>
      <c r="E221" s="4">
        <v>24.129999000000002</v>
      </c>
      <c r="F221" s="4">
        <v>24.129999000000002</v>
      </c>
      <c r="G221" s="11">
        <v>70843800</v>
      </c>
      <c r="H221" s="3">
        <f>(AMD[[#This Row],[Close]]-E220)/E220</f>
        <v>-1.5503916768665851E-2</v>
      </c>
    </row>
    <row r="222" spans="1:8" x14ac:dyDescent="0.25">
      <c r="A222" s="8">
        <v>43501</v>
      </c>
      <c r="B222" s="4">
        <v>23.42</v>
      </c>
      <c r="C222" s="4">
        <v>23.860001</v>
      </c>
      <c r="D222" s="4">
        <v>22.98</v>
      </c>
      <c r="E222" s="4">
        <v>23.309999000000001</v>
      </c>
      <c r="F222" s="4">
        <v>23.309999000000001</v>
      </c>
      <c r="G222" s="11">
        <v>122226000</v>
      </c>
      <c r="H222" s="3">
        <f>(AMD[[#This Row],[Close]]-E221)/E221</f>
        <v>-3.398259568929117E-2</v>
      </c>
    </row>
    <row r="223" spans="1:8" x14ac:dyDescent="0.25">
      <c r="A223" s="8">
        <v>43502</v>
      </c>
      <c r="B223" s="4">
        <v>23.629999000000002</v>
      </c>
      <c r="C223" s="4">
        <v>24.139999</v>
      </c>
      <c r="D223" s="4">
        <v>23.219999000000001</v>
      </c>
      <c r="E223" s="4">
        <v>23.26</v>
      </c>
      <c r="F223" s="4">
        <v>23.26</v>
      </c>
      <c r="G223" s="11">
        <v>78684300</v>
      </c>
      <c r="H223" s="3">
        <f>(AMD[[#This Row],[Close]]-E222)/E222</f>
        <v>-2.1449593369780788E-3</v>
      </c>
    </row>
    <row r="224" spans="1:8" x14ac:dyDescent="0.25">
      <c r="A224" s="8">
        <v>43503</v>
      </c>
      <c r="B224" s="4">
        <v>22.99</v>
      </c>
      <c r="C224" s="4">
        <v>23.219999000000001</v>
      </c>
      <c r="D224" s="4">
        <v>22.32</v>
      </c>
      <c r="E224" s="4">
        <v>22.67</v>
      </c>
      <c r="F224" s="4">
        <v>22.67</v>
      </c>
      <c r="G224" s="11">
        <v>86723900</v>
      </c>
      <c r="H224" s="3">
        <f>(AMD[[#This Row],[Close]]-E223)/E223</f>
        <v>-2.5365434221840059E-2</v>
      </c>
    </row>
    <row r="225" spans="1:8" x14ac:dyDescent="0.25">
      <c r="A225" s="8">
        <v>43504</v>
      </c>
      <c r="B225" s="4">
        <v>22.33</v>
      </c>
      <c r="C225" s="4">
        <v>23.280000999999999</v>
      </c>
      <c r="D225" s="4">
        <v>22.27</v>
      </c>
      <c r="E225" s="4">
        <v>23.049999</v>
      </c>
      <c r="F225" s="4">
        <v>23.049999</v>
      </c>
      <c r="G225" s="11">
        <v>78129300</v>
      </c>
      <c r="H225" s="3">
        <f>(AMD[[#This Row],[Close]]-E224)/E224</f>
        <v>1.676219673577406E-2</v>
      </c>
    </row>
    <row r="226" spans="1:8" x14ac:dyDescent="0.25">
      <c r="A226" s="8">
        <v>43507</v>
      </c>
      <c r="B226" s="4">
        <v>23.049999</v>
      </c>
      <c r="C226" s="4">
        <v>23.280000999999999</v>
      </c>
      <c r="D226" s="4">
        <v>22.66</v>
      </c>
      <c r="E226" s="4">
        <v>22.959999</v>
      </c>
      <c r="F226" s="4">
        <v>22.959999</v>
      </c>
      <c r="G226" s="11">
        <v>60578700</v>
      </c>
      <c r="H226" s="3">
        <f>(AMD[[#This Row],[Close]]-E225)/E225</f>
        <v>-3.9045554839286481E-3</v>
      </c>
    </row>
    <row r="227" spans="1:8" x14ac:dyDescent="0.25">
      <c r="A227" s="8">
        <v>43508</v>
      </c>
      <c r="B227" s="4">
        <v>23.43</v>
      </c>
      <c r="C227" s="4">
        <v>23.559999000000001</v>
      </c>
      <c r="D227" s="4">
        <v>22.75</v>
      </c>
      <c r="E227" s="4">
        <v>22.82</v>
      </c>
      <c r="F227" s="4">
        <v>22.82</v>
      </c>
      <c r="G227" s="11">
        <v>67595400</v>
      </c>
      <c r="H227" s="3">
        <f>(AMD[[#This Row],[Close]]-E226)/E226</f>
        <v>-6.0975176871740956E-3</v>
      </c>
    </row>
    <row r="228" spans="1:8" x14ac:dyDescent="0.25">
      <c r="A228" s="8">
        <v>43509</v>
      </c>
      <c r="B228" s="4">
        <v>22.98</v>
      </c>
      <c r="C228" s="4">
        <v>23.24</v>
      </c>
      <c r="D228" s="4">
        <v>22.709999</v>
      </c>
      <c r="E228" s="4">
        <v>22.85</v>
      </c>
      <c r="F228" s="4">
        <v>22.85</v>
      </c>
      <c r="G228" s="11">
        <v>57544200</v>
      </c>
      <c r="H228" s="3">
        <f>(AMD[[#This Row],[Close]]-E227)/E227</f>
        <v>1.3146362839614872E-3</v>
      </c>
    </row>
    <row r="229" spans="1:8" x14ac:dyDescent="0.25">
      <c r="A229" s="8">
        <v>43510</v>
      </c>
      <c r="B229" s="4">
        <v>22.74</v>
      </c>
      <c r="C229" s="4">
        <v>23.370000999999998</v>
      </c>
      <c r="D229" s="4">
        <v>22.59</v>
      </c>
      <c r="E229" s="4">
        <v>23.129999000000002</v>
      </c>
      <c r="F229" s="4">
        <v>23.129999000000002</v>
      </c>
      <c r="G229" s="11">
        <v>64441200</v>
      </c>
      <c r="H229" s="3">
        <f>(AMD[[#This Row],[Close]]-E228)/E228</f>
        <v>1.2253785557986875E-2</v>
      </c>
    </row>
    <row r="230" spans="1:8" x14ac:dyDescent="0.25">
      <c r="A230" s="8">
        <v>43511</v>
      </c>
      <c r="B230" s="4">
        <v>23.58</v>
      </c>
      <c r="C230" s="4">
        <v>24.049999</v>
      </c>
      <c r="D230" s="4">
        <v>23.200001</v>
      </c>
      <c r="E230" s="4">
        <v>23.68</v>
      </c>
      <c r="F230" s="4">
        <v>23.68</v>
      </c>
      <c r="G230" s="11">
        <v>78644100</v>
      </c>
      <c r="H230" s="3">
        <f>(AMD[[#This Row],[Close]]-E229)/E229</f>
        <v>2.3778686717625806E-2</v>
      </c>
    </row>
    <row r="231" spans="1:8" x14ac:dyDescent="0.25">
      <c r="A231" s="8">
        <v>43515</v>
      </c>
      <c r="B231" s="4">
        <v>23.629999000000002</v>
      </c>
      <c r="C231" s="4">
        <v>24.41</v>
      </c>
      <c r="D231" s="4">
        <v>23.610001</v>
      </c>
      <c r="E231" s="4">
        <v>23.950001</v>
      </c>
      <c r="F231" s="4">
        <v>23.950001</v>
      </c>
      <c r="G231" s="11">
        <v>57517900</v>
      </c>
      <c r="H231" s="3">
        <f>(AMD[[#This Row],[Close]]-E230)/E230</f>
        <v>1.1402069256756782E-2</v>
      </c>
    </row>
    <row r="232" spans="1:8" x14ac:dyDescent="0.25">
      <c r="A232" s="8">
        <v>43516</v>
      </c>
      <c r="B232" s="4">
        <v>24.139999</v>
      </c>
      <c r="C232" s="4">
        <v>24.370000999999998</v>
      </c>
      <c r="D232" s="4">
        <v>23.9</v>
      </c>
      <c r="E232" s="4">
        <v>23.950001</v>
      </c>
      <c r="F232" s="4">
        <v>23.950001</v>
      </c>
      <c r="G232" s="11">
        <v>57091600</v>
      </c>
      <c r="H232" s="3">
        <f>(AMD[[#This Row],[Close]]-E231)/E231</f>
        <v>0</v>
      </c>
    </row>
    <row r="233" spans="1:8" x14ac:dyDescent="0.25">
      <c r="A233" s="8">
        <v>43517</v>
      </c>
      <c r="B233" s="4">
        <v>24.040001</v>
      </c>
      <c r="C233" s="4">
        <v>24.33</v>
      </c>
      <c r="D233" s="4">
        <v>23.85</v>
      </c>
      <c r="E233" s="4">
        <v>23.92</v>
      </c>
      <c r="F233" s="4">
        <v>23.92</v>
      </c>
      <c r="G233" s="11">
        <v>49608200</v>
      </c>
      <c r="H233" s="3">
        <f>(AMD[[#This Row],[Close]]-E232)/E232</f>
        <v>-1.2526513046909105E-3</v>
      </c>
    </row>
    <row r="234" spans="1:8" x14ac:dyDescent="0.25">
      <c r="A234" s="8">
        <v>43518</v>
      </c>
      <c r="B234" s="4">
        <v>24.049999</v>
      </c>
      <c r="C234" s="4">
        <v>24.360001</v>
      </c>
      <c r="D234" s="4">
        <v>23.879999000000002</v>
      </c>
      <c r="E234" s="4">
        <v>24.360001</v>
      </c>
      <c r="F234" s="4">
        <v>24.360001</v>
      </c>
      <c r="G234" s="11">
        <v>52650700</v>
      </c>
      <c r="H234" s="3">
        <f>(AMD[[#This Row],[Close]]-E233)/E233</f>
        <v>1.839469063545145E-2</v>
      </c>
    </row>
    <row r="235" spans="1:8" x14ac:dyDescent="0.25">
      <c r="A235" s="8">
        <v>43521</v>
      </c>
      <c r="B235" s="4">
        <v>25.01</v>
      </c>
      <c r="C235" s="4">
        <v>25.52</v>
      </c>
      <c r="D235" s="4">
        <v>24.68</v>
      </c>
      <c r="E235" s="4">
        <v>24.709999</v>
      </c>
      <c r="F235" s="4">
        <v>24.709999</v>
      </c>
      <c r="G235" s="11">
        <v>63221000</v>
      </c>
      <c r="H235" s="3">
        <f>(AMD[[#This Row],[Close]]-E234)/E234</f>
        <v>1.4367733400339325E-2</v>
      </c>
    </row>
    <row r="236" spans="1:8" x14ac:dyDescent="0.25">
      <c r="A236" s="8">
        <v>43522</v>
      </c>
      <c r="B236" s="4">
        <v>24.65</v>
      </c>
      <c r="C236" s="4">
        <v>24.719999000000001</v>
      </c>
      <c r="D236" s="4">
        <v>24.15</v>
      </c>
      <c r="E236" s="4">
        <v>24.209999</v>
      </c>
      <c r="F236" s="4">
        <v>24.209999</v>
      </c>
      <c r="G236" s="11">
        <v>48470100</v>
      </c>
      <c r="H236" s="3">
        <f>(AMD[[#This Row],[Close]]-E235)/E235</f>
        <v>-2.02347236031859E-2</v>
      </c>
    </row>
    <row r="237" spans="1:8" x14ac:dyDescent="0.25">
      <c r="A237" s="8">
        <v>43523</v>
      </c>
      <c r="B237" s="4">
        <v>24.110001</v>
      </c>
      <c r="C237" s="4">
        <v>24.23</v>
      </c>
      <c r="D237" s="4">
        <v>23.209999</v>
      </c>
      <c r="E237" s="4">
        <v>23.48</v>
      </c>
      <c r="F237" s="4">
        <v>23.48</v>
      </c>
      <c r="G237" s="11">
        <v>62649300</v>
      </c>
      <c r="H237" s="3">
        <f>(AMD[[#This Row],[Close]]-E236)/E236</f>
        <v>-3.015278934955757E-2</v>
      </c>
    </row>
    <row r="238" spans="1:8" x14ac:dyDescent="0.25">
      <c r="A238" s="8">
        <v>43524</v>
      </c>
      <c r="B238" s="4">
        <v>23.209999</v>
      </c>
      <c r="C238" s="4">
        <v>23.67</v>
      </c>
      <c r="D238" s="4">
        <v>23.110001</v>
      </c>
      <c r="E238" s="4">
        <v>23.530000999999999</v>
      </c>
      <c r="F238" s="4">
        <v>23.530000999999999</v>
      </c>
      <c r="G238" s="11">
        <v>39384900</v>
      </c>
      <c r="H238" s="3">
        <f>(AMD[[#This Row],[Close]]-E237)/E237</f>
        <v>2.1295144804087812E-3</v>
      </c>
    </row>
    <row r="239" spans="1:8" x14ac:dyDescent="0.25">
      <c r="A239" s="8">
        <v>43525</v>
      </c>
      <c r="B239" s="4">
        <v>23.969999000000001</v>
      </c>
      <c r="C239" s="4">
        <v>24.190000999999999</v>
      </c>
      <c r="D239" s="4">
        <v>23.450001</v>
      </c>
      <c r="E239" s="4">
        <v>23.68</v>
      </c>
      <c r="F239" s="4">
        <v>23.68</v>
      </c>
      <c r="G239" s="11">
        <v>48084000</v>
      </c>
      <c r="H239" s="3">
        <f>(AMD[[#This Row],[Close]]-E238)/E238</f>
        <v>6.3747978591246601E-3</v>
      </c>
    </row>
    <row r="240" spans="1:8" x14ac:dyDescent="0.25">
      <c r="A240" s="8">
        <v>43528</v>
      </c>
      <c r="B240" s="4">
        <v>23.889999</v>
      </c>
      <c r="C240" s="4">
        <v>24.129999000000002</v>
      </c>
      <c r="D240" s="4">
        <v>23.01</v>
      </c>
      <c r="E240" s="4">
        <v>23.370000999999998</v>
      </c>
      <c r="F240" s="4">
        <v>23.370000999999998</v>
      </c>
      <c r="G240" s="11">
        <v>48147700</v>
      </c>
      <c r="H240" s="3">
        <f>(AMD[[#This Row],[Close]]-E239)/E239</f>
        <v>-1.3091173986486539E-2</v>
      </c>
    </row>
    <row r="241" spans="1:8" x14ac:dyDescent="0.25">
      <c r="A241" s="8">
        <v>43529</v>
      </c>
      <c r="B241" s="4">
        <v>23.34</v>
      </c>
      <c r="C241" s="4">
        <v>23.68</v>
      </c>
      <c r="D241" s="4">
        <v>23.01</v>
      </c>
      <c r="E241" s="4">
        <v>23.5</v>
      </c>
      <c r="F241" s="4">
        <v>23.5</v>
      </c>
      <c r="G241" s="11">
        <v>35462600</v>
      </c>
      <c r="H241" s="3">
        <f>(AMD[[#This Row],[Close]]-E240)/E240</f>
        <v>5.5626441778929125E-3</v>
      </c>
    </row>
    <row r="242" spans="1:8" x14ac:dyDescent="0.25">
      <c r="A242" s="8">
        <v>43530</v>
      </c>
      <c r="B242" s="4">
        <v>23.469999000000001</v>
      </c>
      <c r="C242" s="4">
        <v>23.530000999999999</v>
      </c>
      <c r="D242" s="4">
        <v>22.4</v>
      </c>
      <c r="E242" s="4">
        <v>22.41</v>
      </c>
      <c r="F242" s="4">
        <v>22.41</v>
      </c>
      <c r="G242" s="11">
        <v>60479400</v>
      </c>
      <c r="H242" s="3">
        <f>(AMD[[#This Row],[Close]]-E241)/E241</f>
        <v>-4.6382978723404251E-2</v>
      </c>
    </row>
    <row r="243" spans="1:8" x14ac:dyDescent="0.25">
      <c r="A243" s="8">
        <v>43531</v>
      </c>
      <c r="B243" s="4">
        <v>22.33</v>
      </c>
      <c r="C243" s="4">
        <v>22.41</v>
      </c>
      <c r="D243" s="4">
        <v>21.73</v>
      </c>
      <c r="E243" s="4">
        <v>22.08</v>
      </c>
      <c r="F243" s="4">
        <v>22.08</v>
      </c>
      <c r="G243" s="11">
        <v>52186300</v>
      </c>
      <c r="H243" s="3">
        <f>(AMD[[#This Row],[Close]]-E242)/E242</f>
        <v>-1.4725568942436495E-2</v>
      </c>
    </row>
    <row r="244" spans="1:8" x14ac:dyDescent="0.25">
      <c r="A244" s="8">
        <v>43532</v>
      </c>
      <c r="B244" s="4">
        <v>21.35</v>
      </c>
      <c r="C244" s="4">
        <v>22.09</v>
      </c>
      <c r="D244" s="4">
        <v>21.040001</v>
      </c>
      <c r="E244" s="4">
        <v>22.01</v>
      </c>
      <c r="F244" s="4">
        <v>22.01</v>
      </c>
      <c r="G244" s="11">
        <v>49967700</v>
      </c>
      <c r="H244" s="3">
        <f>(AMD[[#This Row],[Close]]-E243)/E243</f>
        <v>-3.1702898550723161E-3</v>
      </c>
    </row>
    <row r="245" spans="1:8" x14ac:dyDescent="0.25">
      <c r="A245" s="8">
        <v>43535</v>
      </c>
      <c r="B245" s="4">
        <v>22.15</v>
      </c>
      <c r="C245" s="4">
        <v>23.08</v>
      </c>
      <c r="D245" s="4">
        <v>21.98</v>
      </c>
      <c r="E245" s="4">
        <v>22.959999</v>
      </c>
      <c r="F245" s="4">
        <v>22.959999</v>
      </c>
      <c r="G245" s="11">
        <v>54420200</v>
      </c>
      <c r="H245" s="3">
        <f>(AMD[[#This Row],[Close]]-E244)/E244</f>
        <v>4.3162153566560571E-2</v>
      </c>
    </row>
    <row r="246" spans="1:8" x14ac:dyDescent="0.25">
      <c r="A246" s="8">
        <v>43536</v>
      </c>
      <c r="B246" s="4">
        <v>23.1</v>
      </c>
      <c r="C246" s="4">
        <v>23.799999</v>
      </c>
      <c r="D246" s="4">
        <v>22.780000999999999</v>
      </c>
      <c r="E246" s="4">
        <v>23.49</v>
      </c>
      <c r="F246" s="4">
        <v>23.49</v>
      </c>
      <c r="G246" s="11">
        <v>56410600</v>
      </c>
      <c r="H246" s="3">
        <f>(AMD[[#This Row],[Close]]-E245)/E245</f>
        <v>2.3083668252772947E-2</v>
      </c>
    </row>
    <row r="247" spans="1:8" x14ac:dyDescent="0.25">
      <c r="A247" s="8">
        <v>43537</v>
      </c>
      <c r="B247" s="4">
        <v>23.66</v>
      </c>
      <c r="C247" s="4">
        <v>24.15</v>
      </c>
      <c r="D247" s="4">
        <v>23.35</v>
      </c>
      <c r="E247" s="4">
        <v>23.379999000000002</v>
      </c>
      <c r="F247" s="4">
        <v>23.379999000000002</v>
      </c>
      <c r="G247" s="11">
        <v>56705800</v>
      </c>
      <c r="H247" s="3">
        <f>(AMD[[#This Row],[Close]]-E246)/E246</f>
        <v>-4.682886334610341E-3</v>
      </c>
    </row>
    <row r="248" spans="1:8" x14ac:dyDescent="0.25">
      <c r="A248" s="8">
        <v>43538</v>
      </c>
      <c r="B248" s="4">
        <v>23.370000999999998</v>
      </c>
      <c r="C248" s="4">
        <v>23.49</v>
      </c>
      <c r="D248" s="4">
        <v>22.799999</v>
      </c>
      <c r="E248" s="4">
        <v>22.82</v>
      </c>
      <c r="F248" s="4">
        <v>22.82</v>
      </c>
      <c r="G248" s="11">
        <v>42818600</v>
      </c>
      <c r="H248" s="3">
        <f>(AMD[[#This Row],[Close]]-E247)/E247</f>
        <v>-2.3952054061251296E-2</v>
      </c>
    </row>
    <row r="249" spans="1:8" x14ac:dyDescent="0.25">
      <c r="A249" s="8">
        <v>43539</v>
      </c>
      <c r="B249" s="4">
        <v>23.1</v>
      </c>
      <c r="C249" s="4">
        <v>23.65</v>
      </c>
      <c r="D249" s="4">
        <v>23.01</v>
      </c>
      <c r="E249" s="4">
        <v>23.290001</v>
      </c>
      <c r="F249" s="4">
        <v>23.290001</v>
      </c>
      <c r="G249" s="11">
        <v>46519900</v>
      </c>
      <c r="H249" s="3">
        <f>(AMD[[#This Row],[Close]]-E248)/E248</f>
        <v>2.0596012269938645E-2</v>
      </c>
    </row>
    <row r="250" spans="1:8" x14ac:dyDescent="0.25">
      <c r="A250" s="8">
        <v>43542</v>
      </c>
      <c r="B250" s="4">
        <v>23.299999</v>
      </c>
      <c r="C250" s="4">
        <v>23.620000999999998</v>
      </c>
      <c r="D250" s="4">
        <v>23.040001</v>
      </c>
      <c r="E250" s="4">
        <v>23.25</v>
      </c>
      <c r="F250" s="4">
        <v>23.25</v>
      </c>
      <c r="G250" s="11">
        <v>34731800</v>
      </c>
      <c r="H250" s="3">
        <f>(AMD[[#This Row],[Close]]-E249)/E249</f>
        <v>-1.7175181744303134E-3</v>
      </c>
    </row>
    <row r="251" spans="1:8" x14ac:dyDescent="0.25">
      <c r="A251" s="8">
        <v>43543</v>
      </c>
      <c r="B251" s="4">
        <v>23.6</v>
      </c>
      <c r="C251" s="4">
        <v>26.08</v>
      </c>
      <c r="D251" s="4">
        <v>23.59</v>
      </c>
      <c r="E251" s="4">
        <v>26</v>
      </c>
      <c r="F251" s="4">
        <v>26</v>
      </c>
      <c r="G251" s="11">
        <v>156052200</v>
      </c>
      <c r="H251" s="3">
        <f>(AMD[[#This Row],[Close]]-E250)/E250</f>
        <v>0.11827956989247312</v>
      </c>
    </row>
    <row r="252" spans="1:8" x14ac:dyDescent="0.25">
      <c r="A252" s="8">
        <v>43544</v>
      </c>
      <c r="B252" s="4">
        <v>26.49</v>
      </c>
      <c r="C252" s="4">
        <v>26.879999000000002</v>
      </c>
      <c r="D252" s="4">
        <v>25.309999000000001</v>
      </c>
      <c r="E252" s="4">
        <v>25.700001</v>
      </c>
      <c r="F252" s="4">
        <v>25.700001</v>
      </c>
      <c r="G252" s="11">
        <v>151292100</v>
      </c>
      <c r="H252" s="3">
        <f>(AMD[[#This Row],[Close]]-E251)/E251</f>
        <v>-1.1538423076923064E-2</v>
      </c>
    </row>
    <row r="253" spans="1:8" x14ac:dyDescent="0.25">
      <c r="A253" s="8">
        <v>43545</v>
      </c>
      <c r="B253" s="4">
        <v>25.780000999999999</v>
      </c>
      <c r="C253" s="4">
        <v>28.110001</v>
      </c>
      <c r="D253" s="4">
        <v>25.709999</v>
      </c>
      <c r="E253" s="4">
        <v>27.889999</v>
      </c>
      <c r="F253" s="4">
        <v>27.889999</v>
      </c>
      <c r="G253" s="11">
        <v>129610300</v>
      </c>
      <c r="H253" s="3">
        <f>(AMD[[#This Row],[Close]]-E252)/E252</f>
        <v>8.5213926645372473E-2</v>
      </c>
    </row>
    <row r="254" spans="1:8" x14ac:dyDescent="0.25">
      <c r="A254" s="8">
        <v>43546</v>
      </c>
      <c r="B254" s="4">
        <v>27.540001</v>
      </c>
      <c r="C254" s="4">
        <v>27.75</v>
      </c>
      <c r="D254" s="4">
        <v>26.33</v>
      </c>
      <c r="E254" s="4">
        <v>26.370000999999998</v>
      </c>
      <c r="F254" s="4">
        <v>26.370000999999998</v>
      </c>
      <c r="G254" s="11">
        <v>115126600</v>
      </c>
      <c r="H254" s="3">
        <f>(AMD[[#This Row],[Close]]-E253)/E253</f>
        <v>-5.4499750968080032E-2</v>
      </c>
    </row>
  </sheetData>
  <mergeCells count="4">
    <mergeCell ref="A1:D1"/>
    <mergeCell ref="E1:H1"/>
    <mergeCell ref="A2:D2"/>
    <mergeCell ref="E2:H2"/>
  </mergeCells>
  <conditionalFormatting sqref="A6:H254">
    <cfRule type="expression" dxfId="70" priority="1">
      <formula>$H6&lt;=SMALL($H:$H,5)</formula>
    </cfRule>
    <cfRule type="expression" dxfId="69" priority="2">
      <formula>$H6&gt;=LARGE($H:$H,5)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54"/>
  <sheetViews>
    <sheetView workbookViewId="0">
      <selection activeCell="H4" sqref="H4"/>
    </sheetView>
  </sheetViews>
  <sheetFormatPr defaultRowHeight="15" x14ac:dyDescent="0.25"/>
  <cols>
    <col min="1" max="1" width="16.5703125" customWidth="1"/>
    <col min="2" max="2" width="13.85546875" customWidth="1"/>
    <col min="3" max="4" width="12" customWidth="1"/>
    <col min="5" max="5" width="12.42578125" customWidth="1"/>
    <col min="6" max="6" width="14" customWidth="1"/>
    <col min="7" max="7" width="15" customWidth="1"/>
    <col min="8" max="8" width="21.42578125" customWidth="1"/>
  </cols>
  <sheetData>
    <row r="1" spans="1:8" ht="30" customHeight="1" thickBot="1" x14ac:dyDescent="0.3">
      <c r="A1" s="40" t="s">
        <v>29</v>
      </c>
      <c r="B1" s="40"/>
      <c r="C1" s="40"/>
      <c r="D1" s="41"/>
      <c r="E1" s="47" t="s">
        <v>34</v>
      </c>
      <c r="F1" s="47"/>
      <c r="G1" s="47"/>
      <c r="H1" s="47"/>
    </row>
    <row r="2" spans="1:8" ht="30" customHeight="1" thickBot="1" x14ac:dyDescent="0.3">
      <c r="A2" s="42" t="s">
        <v>5</v>
      </c>
      <c r="B2" s="42"/>
      <c r="C2" s="42"/>
      <c r="D2" s="43"/>
      <c r="E2" s="47" t="s">
        <v>35</v>
      </c>
      <c r="F2" s="47"/>
      <c r="G2" s="47"/>
      <c r="H2" s="47"/>
    </row>
    <row r="3" spans="1:8" x14ac:dyDescent="0.25">
      <c r="A3" s="13"/>
      <c r="B3" s="14"/>
      <c r="C3" s="13"/>
      <c r="D3" s="14"/>
      <c r="E3" s="14"/>
      <c r="F3" s="14"/>
      <c r="G3" s="13"/>
    </row>
    <row r="4" spans="1:8" ht="30" customHeight="1" x14ac:dyDescent="0.25">
      <c r="A4" s="9" t="s">
        <v>0</v>
      </c>
      <c r="B4" s="9" t="s">
        <v>1</v>
      </c>
      <c r="C4" s="9" t="s">
        <v>2</v>
      </c>
      <c r="D4" s="9" t="s">
        <v>3</v>
      </c>
      <c r="E4" s="9" t="s">
        <v>9</v>
      </c>
      <c r="F4" s="9" t="s">
        <v>28</v>
      </c>
      <c r="G4" s="9" t="s">
        <v>10</v>
      </c>
      <c r="H4" s="10" t="s">
        <v>4</v>
      </c>
    </row>
    <row r="5" spans="1:8" x14ac:dyDescent="0.25">
      <c r="A5" s="8">
        <v>43185</v>
      </c>
      <c r="B5" s="4">
        <v>50.740001999999997</v>
      </c>
      <c r="C5" s="4">
        <v>52.490001999999997</v>
      </c>
      <c r="D5" s="4">
        <v>50.32</v>
      </c>
      <c r="E5" s="4">
        <v>52.48</v>
      </c>
      <c r="F5" s="4">
        <v>51.214466000000002</v>
      </c>
      <c r="G5" s="11">
        <v>39306200</v>
      </c>
      <c r="H5" s="3" t="s">
        <v>11</v>
      </c>
    </row>
    <row r="6" spans="1:8" x14ac:dyDescent="0.25">
      <c r="A6" s="8">
        <v>43186</v>
      </c>
      <c r="B6" s="4">
        <v>53.009998000000003</v>
      </c>
      <c r="C6" s="4">
        <v>53.25</v>
      </c>
      <c r="D6" s="4">
        <v>50.779998999999997</v>
      </c>
      <c r="E6" s="4">
        <v>51.189999</v>
      </c>
      <c r="F6" s="4">
        <v>49.955570000000002</v>
      </c>
      <c r="G6" s="11">
        <v>38777000</v>
      </c>
      <c r="H6" s="3">
        <f>(INTC[[#This Row],[Close]]-E5)/E5</f>
        <v>-2.4580811737804815E-2</v>
      </c>
    </row>
    <row r="7" spans="1:8" x14ac:dyDescent="0.25">
      <c r="A7" s="8">
        <v>43187</v>
      </c>
      <c r="B7" s="4">
        <v>50.5</v>
      </c>
      <c r="C7" s="4">
        <v>50.700001</v>
      </c>
      <c r="D7" s="4">
        <v>49.009998000000003</v>
      </c>
      <c r="E7" s="4">
        <v>49.599997999999999</v>
      </c>
      <c r="F7" s="4">
        <v>48.403914999999998</v>
      </c>
      <c r="G7" s="11">
        <v>37970900</v>
      </c>
      <c r="H7" s="3">
        <f>(INTC[[#This Row],[Close]]-E6)/E6</f>
        <v>-3.1060774195365796E-2</v>
      </c>
    </row>
    <row r="8" spans="1:8" x14ac:dyDescent="0.25">
      <c r="A8" s="8">
        <v>43188</v>
      </c>
      <c r="B8" s="4">
        <v>49.98</v>
      </c>
      <c r="C8" s="4">
        <v>52.080002</v>
      </c>
      <c r="D8" s="4">
        <v>49.869999</v>
      </c>
      <c r="E8" s="4">
        <v>52.080002</v>
      </c>
      <c r="F8" s="4">
        <v>50.824115999999997</v>
      </c>
      <c r="G8" s="11">
        <v>45265800</v>
      </c>
      <c r="H8" s="3">
        <f>(INTC[[#This Row],[Close]]-E7)/E7</f>
        <v>5.0000082661293674E-2</v>
      </c>
    </row>
    <row r="9" spans="1:8" x14ac:dyDescent="0.25">
      <c r="A9" s="8">
        <v>43192</v>
      </c>
      <c r="B9" s="4">
        <v>51.689999</v>
      </c>
      <c r="C9" s="4">
        <v>52.040000999999997</v>
      </c>
      <c r="D9" s="4">
        <v>47.290000999999997</v>
      </c>
      <c r="E9" s="4">
        <v>48.919998</v>
      </c>
      <c r="F9" s="4">
        <v>47.740310999999998</v>
      </c>
      <c r="G9" s="11">
        <v>67187800</v>
      </c>
      <c r="H9" s="3">
        <f>(INTC[[#This Row],[Close]]-E8)/E8</f>
        <v>-6.0675957731338041E-2</v>
      </c>
    </row>
    <row r="10" spans="1:8" x14ac:dyDescent="0.25">
      <c r="A10" s="8">
        <v>43193</v>
      </c>
      <c r="B10" s="4">
        <v>49</v>
      </c>
      <c r="C10" s="4">
        <v>49.959999000000003</v>
      </c>
      <c r="D10" s="4">
        <v>48.41</v>
      </c>
      <c r="E10" s="4">
        <v>49.75</v>
      </c>
      <c r="F10" s="4">
        <v>48.550300999999997</v>
      </c>
      <c r="G10" s="11">
        <v>39432400</v>
      </c>
      <c r="H10" s="3">
        <f>(INTC[[#This Row],[Close]]-E9)/E9</f>
        <v>1.6966517455703909E-2</v>
      </c>
    </row>
    <row r="11" spans="1:8" x14ac:dyDescent="0.25">
      <c r="A11" s="8">
        <v>43194</v>
      </c>
      <c r="B11" s="4">
        <v>48.099997999999999</v>
      </c>
      <c r="C11" s="4">
        <v>50.16</v>
      </c>
      <c r="D11" s="4">
        <v>48.009998000000003</v>
      </c>
      <c r="E11" s="4">
        <v>49.990001999999997</v>
      </c>
      <c r="F11" s="4">
        <v>48.784511999999999</v>
      </c>
      <c r="G11" s="11">
        <v>30370000</v>
      </c>
      <c r="H11" s="3">
        <f>(INTC[[#This Row],[Close]]-E10)/E10</f>
        <v>4.824160804020039E-3</v>
      </c>
    </row>
    <row r="12" spans="1:8" x14ac:dyDescent="0.25">
      <c r="A12" s="8">
        <v>43195</v>
      </c>
      <c r="B12" s="4">
        <v>50.009998000000003</v>
      </c>
      <c r="C12" s="4">
        <v>50.720001000000003</v>
      </c>
      <c r="D12" s="4">
        <v>49.970001000000003</v>
      </c>
      <c r="E12" s="4">
        <v>50.380001</v>
      </c>
      <c r="F12" s="4">
        <v>49.165107999999996</v>
      </c>
      <c r="G12" s="11">
        <v>25115400</v>
      </c>
      <c r="H12" s="3">
        <f>(INTC[[#This Row],[Close]]-E11)/E11</f>
        <v>7.8015399959376498E-3</v>
      </c>
    </row>
    <row r="13" spans="1:8" x14ac:dyDescent="0.25">
      <c r="A13" s="8">
        <v>43196</v>
      </c>
      <c r="B13" s="4">
        <v>49.790000999999997</v>
      </c>
      <c r="C13" s="4">
        <v>50.400002000000001</v>
      </c>
      <c r="D13" s="4">
        <v>48.5</v>
      </c>
      <c r="E13" s="4">
        <v>48.790000999999997</v>
      </c>
      <c r="F13" s="4">
        <v>47.613453</v>
      </c>
      <c r="G13" s="11">
        <v>28215200</v>
      </c>
      <c r="H13" s="3">
        <f>(INTC[[#This Row],[Close]]-E12)/E12</f>
        <v>-3.1560142287412885E-2</v>
      </c>
    </row>
    <row r="14" spans="1:8" x14ac:dyDescent="0.25">
      <c r="A14" s="8">
        <v>43199</v>
      </c>
      <c r="B14" s="4">
        <v>49.16</v>
      </c>
      <c r="C14" s="4">
        <v>51.110000999999997</v>
      </c>
      <c r="D14" s="4">
        <v>49.16</v>
      </c>
      <c r="E14" s="4">
        <v>49.549999</v>
      </c>
      <c r="F14" s="4">
        <v>48.355125000000001</v>
      </c>
      <c r="G14" s="11">
        <v>31437000</v>
      </c>
      <c r="H14" s="3">
        <f>(INTC[[#This Row],[Close]]-E13)/E13</f>
        <v>1.5576921181042876E-2</v>
      </c>
    </row>
    <row r="15" spans="1:8" x14ac:dyDescent="0.25">
      <c r="A15" s="8">
        <v>43200</v>
      </c>
      <c r="B15" s="4">
        <v>51.119999</v>
      </c>
      <c r="C15" s="4">
        <v>51.490001999999997</v>
      </c>
      <c r="D15" s="4">
        <v>50.34</v>
      </c>
      <c r="E15" s="4">
        <v>51.27</v>
      </c>
      <c r="F15" s="4">
        <v>50.033648999999997</v>
      </c>
      <c r="G15" s="11">
        <v>25906400</v>
      </c>
      <c r="H15" s="3">
        <f>(INTC[[#This Row],[Close]]-E14)/E14</f>
        <v>3.4712432587536549E-2</v>
      </c>
    </row>
    <row r="16" spans="1:8" x14ac:dyDescent="0.25">
      <c r="A16" s="8">
        <v>43201</v>
      </c>
      <c r="B16" s="4">
        <v>50.990001999999997</v>
      </c>
      <c r="C16" s="4">
        <v>51.73</v>
      </c>
      <c r="D16" s="4">
        <v>50.82</v>
      </c>
      <c r="E16" s="4">
        <v>51.099997999999999</v>
      </c>
      <c r="F16" s="4">
        <v>49.867744000000002</v>
      </c>
      <c r="G16" s="11">
        <v>17568400</v>
      </c>
      <c r="H16" s="3">
        <f>(INTC[[#This Row],[Close]]-E15)/E15</f>
        <v>-3.3158182172811344E-3</v>
      </c>
    </row>
    <row r="17" spans="1:8" x14ac:dyDescent="0.25">
      <c r="A17" s="8">
        <v>43202</v>
      </c>
      <c r="B17" s="4">
        <v>51.490001999999997</v>
      </c>
      <c r="C17" s="4">
        <v>53.27</v>
      </c>
      <c r="D17" s="4">
        <v>51.450001</v>
      </c>
      <c r="E17" s="4">
        <v>52.720001000000003</v>
      </c>
      <c r="F17" s="4">
        <v>51.448681000000001</v>
      </c>
      <c r="G17" s="11">
        <v>29781400</v>
      </c>
      <c r="H17" s="3">
        <f>(INTC[[#This Row],[Close]]-E16)/E16</f>
        <v>3.1702603980532526E-2</v>
      </c>
    </row>
    <row r="18" spans="1:8" x14ac:dyDescent="0.25">
      <c r="A18" s="8">
        <v>43203</v>
      </c>
      <c r="B18" s="4">
        <v>53.060001</v>
      </c>
      <c r="C18" s="4">
        <v>53.209999000000003</v>
      </c>
      <c r="D18" s="4">
        <v>51.599997999999999</v>
      </c>
      <c r="E18" s="4">
        <v>51.860000999999997</v>
      </c>
      <c r="F18" s="4">
        <v>50.609420999999998</v>
      </c>
      <c r="G18" s="11">
        <v>20884900</v>
      </c>
      <c r="H18" s="3">
        <f>(INTC[[#This Row],[Close]]-E17)/E17</f>
        <v>-1.631259453124833E-2</v>
      </c>
    </row>
    <row r="19" spans="1:8" x14ac:dyDescent="0.25">
      <c r="A19" s="8">
        <v>43206</v>
      </c>
      <c r="B19" s="4">
        <v>52.290000999999997</v>
      </c>
      <c r="C19" s="4">
        <v>52.529998999999997</v>
      </c>
      <c r="D19" s="4">
        <v>51.790000999999997</v>
      </c>
      <c r="E19" s="4">
        <v>52.400002000000001</v>
      </c>
      <c r="F19" s="4">
        <v>51.136395</v>
      </c>
      <c r="G19" s="11">
        <v>18855500</v>
      </c>
      <c r="H19" s="3">
        <f>(INTC[[#This Row],[Close]]-E18)/E18</f>
        <v>1.0412668522702184E-2</v>
      </c>
    </row>
    <row r="20" spans="1:8" x14ac:dyDescent="0.25">
      <c r="A20" s="8">
        <v>43207</v>
      </c>
      <c r="B20" s="4">
        <v>52.91</v>
      </c>
      <c r="C20" s="4">
        <v>53.700001</v>
      </c>
      <c r="D20" s="4">
        <v>52.889999000000003</v>
      </c>
      <c r="E20" s="4">
        <v>53.540000999999997</v>
      </c>
      <c r="F20" s="4">
        <v>52.248900999999996</v>
      </c>
      <c r="G20" s="11">
        <v>21228700</v>
      </c>
      <c r="H20" s="3">
        <f>(INTC[[#This Row],[Close]]-E19)/E19</f>
        <v>2.1755705276499723E-2</v>
      </c>
    </row>
    <row r="21" spans="1:8" x14ac:dyDescent="0.25">
      <c r="A21" s="8">
        <v>43208</v>
      </c>
      <c r="B21" s="4">
        <v>53.52</v>
      </c>
      <c r="C21" s="4">
        <v>54.360000999999997</v>
      </c>
      <c r="D21" s="4">
        <v>53.34</v>
      </c>
      <c r="E21" s="4">
        <v>53.610000999999997</v>
      </c>
      <c r="F21" s="4">
        <v>52.317219000000001</v>
      </c>
      <c r="G21" s="11">
        <v>22164700</v>
      </c>
      <c r="H21" s="3">
        <f>(INTC[[#This Row],[Close]]-E20)/E20</f>
        <v>1.3074336700143185E-3</v>
      </c>
    </row>
    <row r="22" spans="1:8" x14ac:dyDescent="0.25">
      <c r="A22" s="8">
        <v>43209</v>
      </c>
      <c r="B22" s="4">
        <v>52.950001</v>
      </c>
      <c r="C22" s="4">
        <v>52.959999000000003</v>
      </c>
      <c r="D22" s="4">
        <v>51.610000999999997</v>
      </c>
      <c r="E22" s="4">
        <v>52.220001000000003</v>
      </c>
      <c r="F22" s="4">
        <v>50.960738999999997</v>
      </c>
      <c r="G22" s="11">
        <v>25422400</v>
      </c>
      <c r="H22" s="3">
        <f>(INTC[[#This Row],[Close]]-E21)/E21</f>
        <v>-2.5927998024099896E-2</v>
      </c>
    </row>
    <row r="23" spans="1:8" x14ac:dyDescent="0.25">
      <c r="A23" s="8">
        <v>43210</v>
      </c>
      <c r="B23" s="4">
        <v>52.169998</v>
      </c>
      <c r="C23" s="4">
        <v>52.279998999999997</v>
      </c>
      <c r="D23" s="4">
        <v>50.880001</v>
      </c>
      <c r="E23" s="4">
        <v>51.529998999999997</v>
      </c>
      <c r="F23" s="4">
        <v>50.287373000000002</v>
      </c>
      <c r="G23" s="11">
        <v>26910100</v>
      </c>
      <c r="H23" s="3">
        <f>(INTC[[#This Row],[Close]]-E22)/E22</f>
        <v>-1.3213366273202616E-2</v>
      </c>
    </row>
    <row r="24" spans="1:8" x14ac:dyDescent="0.25">
      <c r="A24" s="8">
        <v>43213</v>
      </c>
      <c r="B24" s="4">
        <v>51.689999</v>
      </c>
      <c r="C24" s="4">
        <v>51.889999000000003</v>
      </c>
      <c r="D24" s="4">
        <v>50.849997999999999</v>
      </c>
      <c r="E24" s="4">
        <v>51.099997999999999</v>
      </c>
      <c r="F24" s="4">
        <v>49.867744000000002</v>
      </c>
      <c r="G24" s="11">
        <v>21706700</v>
      </c>
      <c r="H24" s="3">
        <f>(INTC[[#This Row],[Close]]-E23)/E23</f>
        <v>-8.3446731679540156E-3</v>
      </c>
    </row>
    <row r="25" spans="1:8" x14ac:dyDescent="0.25">
      <c r="A25" s="8">
        <v>43214</v>
      </c>
      <c r="B25" s="4">
        <v>51.869999</v>
      </c>
      <c r="C25" s="4">
        <v>53.639999000000003</v>
      </c>
      <c r="D25" s="4">
        <v>51.139999000000003</v>
      </c>
      <c r="E25" s="4">
        <v>51.450001</v>
      </c>
      <c r="F25" s="4">
        <v>50.209308999999998</v>
      </c>
      <c r="G25" s="11">
        <v>42494700</v>
      </c>
      <c r="H25" s="3">
        <f>(INTC[[#This Row],[Close]]-E24)/E24</f>
        <v>6.8493740449853046E-3</v>
      </c>
    </row>
    <row r="26" spans="1:8" x14ac:dyDescent="0.25">
      <c r="A26" s="8">
        <v>43215</v>
      </c>
      <c r="B26" s="4">
        <v>51.860000999999997</v>
      </c>
      <c r="C26" s="4">
        <v>52.099997999999999</v>
      </c>
      <c r="D26" s="4">
        <v>50.599997999999999</v>
      </c>
      <c r="E26" s="4">
        <v>51.380001</v>
      </c>
      <c r="F26" s="4">
        <v>50.140994999999997</v>
      </c>
      <c r="G26" s="11">
        <v>25752800</v>
      </c>
      <c r="H26" s="3">
        <f>(INTC[[#This Row],[Close]]-E25)/E25</f>
        <v>-1.3605441912430728E-3</v>
      </c>
    </row>
    <row r="27" spans="1:8" x14ac:dyDescent="0.25">
      <c r="A27" s="8">
        <v>43216</v>
      </c>
      <c r="B27" s="4">
        <v>52.259998000000003</v>
      </c>
      <c r="C27" s="4">
        <v>53.27</v>
      </c>
      <c r="D27" s="4">
        <v>52.07</v>
      </c>
      <c r="E27" s="4">
        <v>53.049999</v>
      </c>
      <c r="F27" s="4">
        <v>51.770724999999999</v>
      </c>
      <c r="G27" s="11">
        <v>39575000</v>
      </c>
      <c r="H27" s="3">
        <f>(INTC[[#This Row],[Close]]-E26)/E26</f>
        <v>3.2502879865650446E-2</v>
      </c>
    </row>
    <row r="28" spans="1:8" x14ac:dyDescent="0.25">
      <c r="A28" s="8">
        <v>43217</v>
      </c>
      <c r="B28" s="4">
        <v>55.439999</v>
      </c>
      <c r="C28" s="4">
        <v>55.790000999999997</v>
      </c>
      <c r="D28" s="4">
        <v>52.23</v>
      </c>
      <c r="E28" s="4">
        <v>52.73</v>
      </c>
      <c r="F28" s="4">
        <v>51.458435000000001</v>
      </c>
      <c r="G28" s="11">
        <v>69888100</v>
      </c>
      <c r="H28" s="3">
        <f>(INTC[[#This Row],[Close]]-E27)/E27</f>
        <v>-6.0320265039025319E-3</v>
      </c>
    </row>
    <row r="29" spans="1:8" x14ac:dyDescent="0.25">
      <c r="A29" s="8">
        <v>43220</v>
      </c>
      <c r="B29" s="4">
        <v>52.560001</v>
      </c>
      <c r="C29" s="4">
        <v>53.369999</v>
      </c>
      <c r="D29" s="4">
        <v>51.209999000000003</v>
      </c>
      <c r="E29" s="4">
        <v>51.619999</v>
      </c>
      <c r="F29" s="4">
        <v>50.375202000000002</v>
      </c>
      <c r="G29" s="11">
        <v>36417400</v>
      </c>
      <c r="H29" s="3">
        <f>(INTC[[#This Row],[Close]]-E28)/E28</f>
        <v>-2.1050654276502882E-2</v>
      </c>
    </row>
    <row r="30" spans="1:8" x14ac:dyDescent="0.25">
      <c r="A30" s="8">
        <v>43221</v>
      </c>
      <c r="B30" s="4">
        <v>51.639999000000003</v>
      </c>
      <c r="C30" s="4">
        <v>53.419998</v>
      </c>
      <c r="D30" s="4">
        <v>51.439999</v>
      </c>
      <c r="E30" s="4">
        <v>53.330002</v>
      </c>
      <c r="F30" s="4">
        <v>52.043971999999997</v>
      </c>
      <c r="G30" s="11">
        <v>27600800</v>
      </c>
      <c r="H30" s="3">
        <f>(INTC[[#This Row],[Close]]-E29)/E29</f>
        <v>3.3126753838178112E-2</v>
      </c>
    </row>
    <row r="31" spans="1:8" x14ac:dyDescent="0.25">
      <c r="A31" s="8">
        <v>43222</v>
      </c>
      <c r="B31" s="4">
        <v>53.09</v>
      </c>
      <c r="C31" s="4">
        <v>53.200001</v>
      </c>
      <c r="D31" s="4">
        <v>52.150002000000001</v>
      </c>
      <c r="E31" s="4">
        <v>52.310001</v>
      </c>
      <c r="F31" s="4">
        <v>51.048569000000001</v>
      </c>
      <c r="G31" s="11">
        <v>25778300</v>
      </c>
      <c r="H31" s="3">
        <f>(INTC[[#This Row],[Close]]-E30)/E30</f>
        <v>-1.9126213421105827E-2</v>
      </c>
    </row>
    <row r="32" spans="1:8" x14ac:dyDescent="0.25">
      <c r="A32" s="8">
        <v>43223</v>
      </c>
      <c r="B32" s="4">
        <v>51.889999000000003</v>
      </c>
      <c r="C32" s="4">
        <v>52.560001</v>
      </c>
      <c r="D32" s="4">
        <v>51.209999000000003</v>
      </c>
      <c r="E32" s="4">
        <v>52.279998999999997</v>
      </c>
      <c r="F32" s="4">
        <v>51.019286999999998</v>
      </c>
      <c r="G32" s="11">
        <v>28561000</v>
      </c>
      <c r="H32" s="3">
        <f>(INTC[[#This Row],[Close]]-E31)/E31</f>
        <v>-5.7354233275589491E-4</v>
      </c>
    </row>
    <row r="33" spans="1:8" x14ac:dyDescent="0.25">
      <c r="A33" s="8">
        <v>43224</v>
      </c>
      <c r="B33" s="4">
        <v>51.619999</v>
      </c>
      <c r="C33" s="4">
        <v>52.84</v>
      </c>
      <c r="D33" s="4">
        <v>51</v>
      </c>
      <c r="E33" s="4">
        <v>52.779998999999997</v>
      </c>
      <c r="F33" s="4">
        <v>51.804501000000002</v>
      </c>
      <c r="G33" s="11">
        <v>25642500</v>
      </c>
      <c r="H33" s="3">
        <f>(INTC[[#This Row],[Close]]-E32)/E32</f>
        <v>9.5638869465165827E-3</v>
      </c>
    </row>
    <row r="34" spans="1:8" x14ac:dyDescent="0.25">
      <c r="A34" s="8">
        <v>43227</v>
      </c>
      <c r="B34" s="4">
        <v>52.860000999999997</v>
      </c>
      <c r="C34" s="4">
        <v>53.580002</v>
      </c>
      <c r="D34" s="4">
        <v>52.830002</v>
      </c>
      <c r="E34" s="4">
        <v>53.330002</v>
      </c>
      <c r="F34" s="4">
        <v>52.344341</v>
      </c>
      <c r="G34" s="11">
        <v>20285700</v>
      </c>
      <c r="H34" s="3">
        <f>(INTC[[#This Row],[Close]]-E33)/E33</f>
        <v>1.0420670906037793E-2</v>
      </c>
    </row>
    <row r="35" spans="1:8" x14ac:dyDescent="0.25">
      <c r="A35" s="8">
        <v>43228</v>
      </c>
      <c r="B35" s="4">
        <v>53.290000999999997</v>
      </c>
      <c r="C35" s="4">
        <v>53.630001</v>
      </c>
      <c r="D35" s="4">
        <v>52.799999</v>
      </c>
      <c r="E35" s="4">
        <v>53.630001</v>
      </c>
      <c r="F35" s="4">
        <v>52.638793999999997</v>
      </c>
      <c r="G35" s="11">
        <v>21026800</v>
      </c>
      <c r="H35" s="3">
        <f>(INTC[[#This Row],[Close]]-E34)/E34</f>
        <v>5.6253326223389168E-3</v>
      </c>
    </row>
    <row r="36" spans="1:8" x14ac:dyDescent="0.25">
      <c r="A36" s="8">
        <v>43229</v>
      </c>
      <c r="B36" s="4">
        <v>53.759998000000003</v>
      </c>
      <c r="C36" s="4">
        <v>54.369999</v>
      </c>
      <c r="D36" s="4">
        <v>53.189999</v>
      </c>
      <c r="E36" s="4">
        <v>54.34</v>
      </c>
      <c r="F36" s="4">
        <v>53.33567</v>
      </c>
      <c r="G36" s="11">
        <v>19827500</v>
      </c>
      <c r="H36" s="3">
        <f>(INTC[[#This Row],[Close]]-E35)/E35</f>
        <v>1.323883995452477E-2</v>
      </c>
    </row>
    <row r="37" spans="1:8" x14ac:dyDescent="0.25">
      <c r="A37" s="8">
        <v>43230</v>
      </c>
      <c r="B37" s="4">
        <v>54.549999</v>
      </c>
      <c r="C37" s="4">
        <v>55</v>
      </c>
      <c r="D37" s="4">
        <v>54.099997999999999</v>
      </c>
      <c r="E37" s="4">
        <v>54.98</v>
      </c>
      <c r="F37" s="4">
        <v>53.963839999999998</v>
      </c>
      <c r="G37" s="11">
        <v>18715900</v>
      </c>
      <c r="H37" s="3">
        <f>(INTC[[#This Row],[Close]]-E36)/E36</f>
        <v>1.1777695988222182E-2</v>
      </c>
    </row>
    <row r="38" spans="1:8" x14ac:dyDescent="0.25">
      <c r="A38" s="8">
        <v>43231</v>
      </c>
      <c r="B38" s="4">
        <v>54.619999</v>
      </c>
      <c r="C38" s="4">
        <v>55.189999</v>
      </c>
      <c r="D38" s="4">
        <v>54.43</v>
      </c>
      <c r="E38" s="4">
        <v>54.669998</v>
      </c>
      <c r="F38" s="4">
        <v>53.659568999999998</v>
      </c>
      <c r="G38" s="11">
        <v>15405000</v>
      </c>
      <c r="H38" s="3">
        <f>(INTC[[#This Row],[Close]]-E37)/E37</f>
        <v>-5.6384503455801606E-3</v>
      </c>
    </row>
    <row r="39" spans="1:8" x14ac:dyDescent="0.25">
      <c r="A39" s="8">
        <v>43234</v>
      </c>
      <c r="B39" s="4">
        <v>54.77</v>
      </c>
      <c r="C39" s="4">
        <v>55.240001999999997</v>
      </c>
      <c r="D39" s="4">
        <v>54.740001999999997</v>
      </c>
      <c r="E39" s="4">
        <v>54.900002000000001</v>
      </c>
      <c r="F39" s="4">
        <v>53.885323</v>
      </c>
      <c r="G39" s="11">
        <v>21878200</v>
      </c>
      <c r="H39" s="3">
        <f>(INTC[[#This Row],[Close]]-E38)/E38</f>
        <v>4.2071338652692287E-3</v>
      </c>
    </row>
    <row r="40" spans="1:8" x14ac:dyDescent="0.25">
      <c r="A40" s="8">
        <v>43235</v>
      </c>
      <c r="B40" s="4">
        <v>54.580002</v>
      </c>
      <c r="C40" s="4">
        <v>54.75</v>
      </c>
      <c r="D40" s="4">
        <v>53.560001</v>
      </c>
      <c r="E40" s="4">
        <v>53.919998</v>
      </c>
      <c r="F40" s="4">
        <v>52.923431000000001</v>
      </c>
      <c r="G40" s="11">
        <v>21712600</v>
      </c>
      <c r="H40" s="3">
        <f>(INTC[[#This Row],[Close]]-E39)/E39</f>
        <v>-1.7850709732214601E-2</v>
      </c>
    </row>
    <row r="41" spans="1:8" x14ac:dyDescent="0.25">
      <c r="A41" s="8">
        <v>43236</v>
      </c>
      <c r="B41" s="4">
        <v>54.169998</v>
      </c>
      <c r="C41" s="4">
        <v>54.700001</v>
      </c>
      <c r="D41" s="4">
        <v>53.959999000000003</v>
      </c>
      <c r="E41" s="4">
        <v>54.639999000000003</v>
      </c>
      <c r="F41" s="4">
        <v>53.630122999999998</v>
      </c>
      <c r="G41" s="11">
        <v>16260500</v>
      </c>
      <c r="H41" s="3">
        <f>(INTC[[#This Row],[Close]]-E40)/E40</f>
        <v>1.3353134768291412E-2</v>
      </c>
    </row>
    <row r="42" spans="1:8" x14ac:dyDescent="0.25">
      <c r="A42" s="8">
        <v>43237</v>
      </c>
      <c r="B42" s="4">
        <v>54.549999</v>
      </c>
      <c r="C42" s="4">
        <v>55.439999</v>
      </c>
      <c r="D42" s="4">
        <v>54.419998</v>
      </c>
      <c r="E42" s="4">
        <v>54.810001</v>
      </c>
      <c r="F42" s="4">
        <v>53.796982</v>
      </c>
      <c r="G42" s="11">
        <v>16872600</v>
      </c>
      <c r="H42" s="3">
        <f>(INTC[[#This Row],[Close]]-E41)/E41</f>
        <v>3.1113104522567186E-3</v>
      </c>
    </row>
    <row r="43" spans="1:8" x14ac:dyDescent="0.25">
      <c r="A43" s="8">
        <v>43238</v>
      </c>
      <c r="B43" s="4">
        <v>54.529998999999997</v>
      </c>
      <c r="C43" s="4">
        <v>54.540000999999997</v>
      </c>
      <c r="D43" s="4">
        <v>53.470001000000003</v>
      </c>
      <c r="E43" s="4">
        <v>53.5</v>
      </c>
      <c r="F43" s="4">
        <v>52.511195999999998</v>
      </c>
      <c r="G43" s="11">
        <v>23679900</v>
      </c>
      <c r="H43" s="3">
        <f>(INTC[[#This Row],[Close]]-E42)/E42</f>
        <v>-2.3900765847459111E-2</v>
      </c>
    </row>
    <row r="44" spans="1:8" x14ac:dyDescent="0.25">
      <c r="A44" s="8">
        <v>43241</v>
      </c>
      <c r="B44" s="4">
        <v>54.360000999999997</v>
      </c>
      <c r="C44" s="4">
        <v>55.220001000000003</v>
      </c>
      <c r="D44" s="4">
        <v>53.860000999999997</v>
      </c>
      <c r="E44" s="4">
        <v>54.32</v>
      </c>
      <c r="F44" s="4">
        <v>53.316040000000001</v>
      </c>
      <c r="G44" s="11">
        <v>25367400</v>
      </c>
      <c r="H44" s="3">
        <f>(INTC[[#This Row],[Close]]-E43)/E43</f>
        <v>1.5327102803738323E-2</v>
      </c>
    </row>
    <row r="45" spans="1:8" x14ac:dyDescent="0.25">
      <c r="A45" s="8">
        <v>43242</v>
      </c>
      <c r="B45" s="4">
        <v>54.73</v>
      </c>
      <c r="C45" s="4">
        <v>55.049999</v>
      </c>
      <c r="D45" s="4">
        <v>54.049999</v>
      </c>
      <c r="E45" s="4">
        <v>54.450001</v>
      </c>
      <c r="F45" s="4">
        <v>53.443638</v>
      </c>
      <c r="G45" s="11">
        <v>19009600</v>
      </c>
      <c r="H45" s="3">
        <f>(INTC[[#This Row],[Close]]-E44)/E44</f>
        <v>2.3932437407952877E-3</v>
      </c>
    </row>
    <row r="46" spans="1:8" x14ac:dyDescent="0.25">
      <c r="A46" s="8">
        <v>43243</v>
      </c>
      <c r="B46" s="4">
        <v>54</v>
      </c>
      <c r="C46" s="4">
        <v>55.23</v>
      </c>
      <c r="D46" s="4">
        <v>53.84</v>
      </c>
      <c r="E46" s="4">
        <v>55.209999000000003</v>
      </c>
      <c r="F46" s="4">
        <v>54.189590000000003</v>
      </c>
      <c r="G46" s="11">
        <v>20496500</v>
      </c>
      <c r="H46" s="3">
        <f>(INTC[[#This Row],[Close]]-E45)/E45</f>
        <v>1.3957722425018929E-2</v>
      </c>
    </row>
    <row r="47" spans="1:8" x14ac:dyDescent="0.25">
      <c r="A47" s="8">
        <v>43244</v>
      </c>
      <c r="B47" s="4">
        <v>55.18</v>
      </c>
      <c r="C47" s="4">
        <v>55.299999</v>
      </c>
      <c r="D47" s="4">
        <v>54.130001</v>
      </c>
      <c r="E47" s="4">
        <v>54.75</v>
      </c>
      <c r="F47" s="4">
        <v>53.738093999999997</v>
      </c>
      <c r="G47" s="11">
        <v>19667100</v>
      </c>
      <c r="H47" s="3">
        <f>(INTC[[#This Row],[Close]]-E46)/E46</f>
        <v>-8.3318059831879974E-3</v>
      </c>
    </row>
    <row r="48" spans="1:8" x14ac:dyDescent="0.25">
      <c r="A48" s="8">
        <v>43245</v>
      </c>
      <c r="B48" s="4">
        <v>54.799999</v>
      </c>
      <c r="C48" s="4">
        <v>55.5</v>
      </c>
      <c r="D48" s="4">
        <v>54.540000999999997</v>
      </c>
      <c r="E48" s="4">
        <v>55.439999</v>
      </c>
      <c r="F48" s="4">
        <v>54.415337000000001</v>
      </c>
      <c r="G48" s="11">
        <v>18550000</v>
      </c>
      <c r="H48" s="3">
        <f>(INTC[[#This Row],[Close]]-E47)/E47</f>
        <v>1.2602721461187219E-2</v>
      </c>
    </row>
    <row r="49" spans="1:8" x14ac:dyDescent="0.25">
      <c r="A49" s="8">
        <v>43249</v>
      </c>
      <c r="B49" s="4">
        <v>55.119999</v>
      </c>
      <c r="C49" s="4">
        <v>55.810001</v>
      </c>
      <c r="D49" s="4">
        <v>54.810001</v>
      </c>
      <c r="E49" s="4">
        <v>55.32</v>
      </c>
      <c r="F49" s="4">
        <v>54.297553999999998</v>
      </c>
      <c r="G49" s="11">
        <v>24253500</v>
      </c>
      <c r="H49" s="3">
        <f>(INTC[[#This Row],[Close]]-E48)/E48</f>
        <v>-2.1644841660260488E-3</v>
      </c>
    </row>
    <row r="50" spans="1:8" x14ac:dyDescent="0.25">
      <c r="A50" s="8">
        <v>43250</v>
      </c>
      <c r="B50" s="4">
        <v>55.889999000000003</v>
      </c>
      <c r="C50" s="4">
        <v>56.200001</v>
      </c>
      <c r="D50" s="4">
        <v>55.619999</v>
      </c>
      <c r="E50" s="4">
        <v>55.68</v>
      </c>
      <c r="F50" s="4">
        <v>54.650905999999999</v>
      </c>
      <c r="G50" s="11">
        <v>24711500</v>
      </c>
      <c r="H50" s="3">
        <f>(INTC[[#This Row],[Close]]-E49)/E49</f>
        <v>6.5075921908893603E-3</v>
      </c>
    </row>
    <row r="51" spans="1:8" x14ac:dyDescent="0.25">
      <c r="A51" s="8">
        <v>43251</v>
      </c>
      <c r="B51" s="4">
        <v>55.669998</v>
      </c>
      <c r="C51" s="4">
        <v>55.860000999999997</v>
      </c>
      <c r="D51" s="4">
        <v>55.060001</v>
      </c>
      <c r="E51" s="4">
        <v>55.200001</v>
      </c>
      <c r="F51" s="4">
        <v>54.179774999999999</v>
      </c>
      <c r="G51" s="11">
        <v>30962100</v>
      </c>
      <c r="H51" s="3">
        <f>(INTC[[#This Row],[Close]]-E50)/E50</f>
        <v>-8.6206716954022877E-3</v>
      </c>
    </row>
    <row r="52" spans="1:8" x14ac:dyDescent="0.25">
      <c r="A52" s="8">
        <v>43252</v>
      </c>
      <c r="B52" s="4">
        <v>55.84</v>
      </c>
      <c r="C52" s="4">
        <v>57.099997999999999</v>
      </c>
      <c r="D52" s="4">
        <v>55.799999</v>
      </c>
      <c r="E52" s="4">
        <v>57.080002</v>
      </c>
      <c r="F52" s="4">
        <v>56.025032000000003</v>
      </c>
      <c r="G52" s="11">
        <v>31183200</v>
      </c>
      <c r="H52" s="3">
        <f>(INTC[[#This Row],[Close]]-E51)/E51</f>
        <v>3.4057988513442237E-2</v>
      </c>
    </row>
    <row r="53" spans="1:8" x14ac:dyDescent="0.25">
      <c r="A53" s="8">
        <v>43255</v>
      </c>
      <c r="B53" s="4">
        <v>57.009998000000003</v>
      </c>
      <c r="C53" s="4">
        <v>57.599997999999999</v>
      </c>
      <c r="D53" s="4">
        <v>56.779998999999997</v>
      </c>
      <c r="E53" s="4">
        <v>56.830002</v>
      </c>
      <c r="F53" s="4">
        <v>55.779651999999999</v>
      </c>
      <c r="G53" s="11">
        <v>22538100</v>
      </c>
      <c r="H53" s="3">
        <f>(INTC[[#This Row],[Close]]-E52)/E52</f>
        <v>-4.3798176461171115E-3</v>
      </c>
    </row>
    <row r="54" spans="1:8" x14ac:dyDescent="0.25">
      <c r="A54" s="8">
        <v>43256</v>
      </c>
      <c r="B54" s="4">
        <v>56.900002000000001</v>
      </c>
      <c r="C54" s="4">
        <v>57.119999</v>
      </c>
      <c r="D54" s="4">
        <v>56.220001000000003</v>
      </c>
      <c r="E54" s="4">
        <v>56.529998999999997</v>
      </c>
      <c r="F54" s="4">
        <v>55.485191</v>
      </c>
      <c r="G54" s="11">
        <v>21687000</v>
      </c>
      <c r="H54" s="3">
        <f>(INTC[[#This Row],[Close]]-E53)/E53</f>
        <v>-5.2789545916258071E-3</v>
      </c>
    </row>
    <row r="55" spans="1:8" x14ac:dyDescent="0.25">
      <c r="A55" s="8">
        <v>43257</v>
      </c>
      <c r="B55" s="4">
        <v>56.529998999999997</v>
      </c>
      <c r="C55" s="4">
        <v>57.060001</v>
      </c>
      <c r="D55" s="4">
        <v>56.080002</v>
      </c>
      <c r="E55" s="4">
        <v>57.029998999999997</v>
      </c>
      <c r="F55" s="4">
        <v>55.975951999999999</v>
      </c>
      <c r="G55" s="11">
        <v>22955400</v>
      </c>
      <c r="H55" s="3">
        <f>(INTC[[#This Row],[Close]]-E54)/E54</f>
        <v>8.8448612921433103E-3</v>
      </c>
    </row>
    <row r="56" spans="1:8" x14ac:dyDescent="0.25">
      <c r="A56" s="8">
        <v>43258</v>
      </c>
      <c r="B56" s="4">
        <v>56.919998</v>
      </c>
      <c r="C56" s="4">
        <v>57</v>
      </c>
      <c r="D56" s="4">
        <v>55.619999</v>
      </c>
      <c r="E56" s="4">
        <v>55.880001</v>
      </c>
      <c r="F56" s="4">
        <v>54.847209999999997</v>
      </c>
      <c r="G56" s="11">
        <v>27596100</v>
      </c>
      <c r="H56" s="3">
        <f>(INTC[[#This Row],[Close]]-E55)/E55</f>
        <v>-2.0164790814742897E-2</v>
      </c>
    </row>
    <row r="57" spans="1:8" x14ac:dyDescent="0.25">
      <c r="A57" s="8">
        <v>43259</v>
      </c>
      <c r="B57" s="4">
        <v>55.560001</v>
      </c>
      <c r="C57" s="4">
        <v>55.700001</v>
      </c>
      <c r="D57" s="4">
        <v>54.66</v>
      </c>
      <c r="E57" s="4">
        <v>55.049999</v>
      </c>
      <c r="F57" s="4">
        <v>54.032547000000001</v>
      </c>
      <c r="G57" s="11">
        <v>30822900</v>
      </c>
      <c r="H57" s="3">
        <f>(INTC[[#This Row],[Close]]-E56)/E56</f>
        <v>-1.4853292504414958E-2</v>
      </c>
    </row>
    <row r="58" spans="1:8" x14ac:dyDescent="0.25">
      <c r="A58" s="8">
        <v>43262</v>
      </c>
      <c r="B58" s="4">
        <v>54.799999</v>
      </c>
      <c r="C58" s="4">
        <v>55.09</v>
      </c>
      <c r="D58" s="4">
        <v>54.259998000000003</v>
      </c>
      <c r="E58" s="4">
        <v>54.52</v>
      </c>
      <c r="F58" s="4">
        <v>53.512343999999999</v>
      </c>
      <c r="G58" s="11">
        <v>25752400</v>
      </c>
      <c r="H58" s="3">
        <f>(INTC[[#This Row],[Close]]-E57)/E57</f>
        <v>-9.6275932720724759E-3</v>
      </c>
    </row>
    <row r="59" spans="1:8" x14ac:dyDescent="0.25">
      <c r="A59" s="8">
        <v>43263</v>
      </c>
      <c r="B59" s="4">
        <v>54.869999</v>
      </c>
      <c r="C59" s="4">
        <v>55.029998999999997</v>
      </c>
      <c r="D59" s="4">
        <v>54.220001000000003</v>
      </c>
      <c r="E59" s="4">
        <v>54.82</v>
      </c>
      <c r="F59" s="4">
        <v>53.806801</v>
      </c>
      <c r="G59" s="11">
        <v>23294900</v>
      </c>
      <c r="H59" s="3">
        <f>(INTC[[#This Row],[Close]]-E58)/E58</f>
        <v>5.5025678650036164E-3</v>
      </c>
    </row>
    <row r="60" spans="1:8" x14ac:dyDescent="0.25">
      <c r="A60" s="8">
        <v>43264</v>
      </c>
      <c r="B60" s="4">
        <v>54.98</v>
      </c>
      <c r="C60" s="4">
        <v>55.700001</v>
      </c>
      <c r="D60" s="4">
        <v>54.91</v>
      </c>
      <c r="E60" s="4">
        <v>55.029998999999997</v>
      </c>
      <c r="F60" s="4">
        <v>54.012917000000002</v>
      </c>
      <c r="G60" s="11">
        <v>22631400</v>
      </c>
      <c r="H60" s="3">
        <f>(INTC[[#This Row],[Close]]-E59)/E59</f>
        <v>3.8307004742793921E-3</v>
      </c>
    </row>
    <row r="61" spans="1:8" x14ac:dyDescent="0.25">
      <c r="A61" s="8">
        <v>43265</v>
      </c>
      <c r="B61" s="4">
        <v>55.450001</v>
      </c>
      <c r="C61" s="4">
        <v>55.860000999999997</v>
      </c>
      <c r="D61" s="4">
        <v>55.18</v>
      </c>
      <c r="E61" s="4">
        <v>55.540000999999997</v>
      </c>
      <c r="F61" s="4">
        <v>54.513492999999997</v>
      </c>
      <c r="G61" s="11">
        <v>23419800</v>
      </c>
      <c r="H61" s="3">
        <f>(INTC[[#This Row],[Close]]-E60)/E60</f>
        <v>9.2677086910359589E-3</v>
      </c>
    </row>
    <row r="62" spans="1:8" x14ac:dyDescent="0.25">
      <c r="A62" s="8">
        <v>43266</v>
      </c>
      <c r="B62" s="4">
        <v>55.169998</v>
      </c>
      <c r="C62" s="4">
        <v>55.380001</v>
      </c>
      <c r="D62" s="4">
        <v>54.580002</v>
      </c>
      <c r="E62" s="4">
        <v>55.110000999999997</v>
      </c>
      <c r="F62" s="4">
        <v>54.091437999999997</v>
      </c>
      <c r="G62" s="11">
        <v>39194700</v>
      </c>
      <c r="H62" s="3">
        <f>(INTC[[#This Row],[Close]]-E61)/E61</f>
        <v>-7.7421676675879019E-3</v>
      </c>
    </row>
    <row r="63" spans="1:8" x14ac:dyDescent="0.25">
      <c r="A63" s="8">
        <v>43269</v>
      </c>
      <c r="B63" s="4">
        <v>54.299999</v>
      </c>
      <c r="C63" s="4">
        <v>54.299999</v>
      </c>
      <c r="D63" s="4">
        <v>52.34</v>
      </c>
      <c r="E63" s="4">
        <v>53.220001000000003</v>
      </c>
      <c r="F63" s="4">
        <v>52.236370000000001</v>
      </c>
      <c r="G63" s="11">
        <v>40764400</v>
      </c>
      <c r="H63" s="3">
        <f>(INTC[[#This Row],[Close]]-E62)/E62</f>
        <v>-3.4295045648792377E-2</v>
      </c>
    </row>
    <row r="64" spans="1:8" x14ac:dyDescent="0.25">
      <c r="A64" s="8">
        <v>43270</v>
      </c>
      <c r="B64" s="4">
        <v>52.139999000000003</v>
      </c>
      <c r="C64" s="4">
        <v>52.950001</v>
      </c>
      <c r="D64" s="4">
        <v>51.880001</v>
      </c>
      <c r="E64" s="4">
        <v>52.93</v>
      </c>
      <c r="F64" s="4">
        <v>51.951729</v>
      </c>
      <c r="G64" s="11">
        <v>31780900</v>
      </c>
      <c r="H64" s="3">
        <f>(INTC[[#This Row],[Close]]-E63)/E63</f>
        <v>-5.4490979810391908E-3</v>
      </c>
    </row>
    <row r="65" spans="1:8" x14ac:dyDescent="0.25">
      <c r="A65" s="8">
        <v>43271</v>
      </c>
      <c r="B65" s="4">
        <v>53.189999</v>
      </c>
      <c r="C65" s="4">
        <v>53.75</v>
      </c>
      <c r="D65" s="4">
        <v>52.689999</v>
      </c>
      <c r="E65" s="4">
        <v>53.459999000000003</v>
      </c>
      <c r="F65" s="4">
        <v>52.471935000000002</v>
      </c>
      <c r="G65" s="11">
        <v>21403000</v>
      </c>
      <c r="H65" s="3">
        <f>(INTC[[#This Row],[Close]]-E64)/E64</f>
        <v>1.0013206121292343E-2</v>
      </c>
    </row>
    <row r="66" spans="1:8" x14ac:dyDescent="0.25">
      <c r="A66" s="8">
        <v>43272</v>
      </c>
      <c r="B66" s="4">
        <v>54.380001</v>
      </c>
      <c r="C66" s="4">
        <v>54.529998999999997</v>
      </c>
      <c r="D66" s="4">
        <v>51.939999</v>
      </c>
      <c r="E66" s="4">
        <v>52.189999</v>
      </c>
      <c r="F66" s="4">
        <v>51.225406999999997</v>
      </c>
      <c r="G66" s="11">
        <v>44435600</v>
      </c>
      <c r="H66" s="3">
        <f>(INTC[[#This Row],[Close]]-E65)/E65</f>
        <v>-2.3756079756006038E-2</v>
      </c>
    </row>
    <row r="67" spans="1:8" x14ac:dyDescent="0.25">
      <c r="A67" s="8">
        <v>43273</v>
      </c>
      <c r="B67" s="4">
        <v>52.619999</v>
      </c>
      <c r="C67" s="4">
        <v>53.09</v>
      </c>
      <c r="D67" s="4">
        <v>52.299999</v>
      </c>
      <c r="E67" s="4">
        <v>52.5</v>
      </c>
      <c r="F67" s="4">
        <v>51.529677999999997</v>
      </c>
      <c r="G67" s="11">
        <v>34682100</v>
      </c>
      <c r="H67" s="3">
        <f>(INTC[[#This Row],[Close]]-E66)/E66</f>
        <v>5.9398544920454925E-3</v>
      </c>
    </row>
    <row r="68" spans="1:8" x14ac:dyDescent="0.25">
      <c r="A68" s="8">
        <v>43276</v>
      </c>
      <c r="B68" s="4">
        <v>51.169998</v>
      </c>
      <c r="C68" s="4">
        <v>51.75</v>
      </c>
      <c r="D68" s="4">
        <v>49.91</v>
      </c>
      <c r="E68" s="4">
        <v>50.709999000000003</v>
      </c>
      <c r="F68" s="4">
        <v>49.772762</v>
      </c>
      <c r="G68" s="11">
        <v>45356500</v>
      </c>
      <c r="H68" s="3">
        <f>(INTC[[#This Row],[Close]]-E67)/E67</f>
        <v>-3.4095257142857077E-2</v>
      </c>
    </row>
    <row r="69" spans="1:8" x14ac:dyDescent="0.25">
      <c r="A69" s="8">
        <v>43277</v>
      </c>
      <c r="B69" s="4">
        <v>49.950001</v>
      </c>
      <c r="C69" s="4">
        <v>50.41</v>
      </c>
      <c r="D69" s="4">
        <v>49.360000999999997</v>
      </c>
      <c r="E69" s="4">
        <v>49.669998</v>
      </c>
      <c r="F69" s="4">
        <v>48.751980000000003</v>
      </c>
      <c r="G69" s="11">
        <v>37543000</v>
      </c>
      <c r="H69" s="3">
        <f>(INTC[[#This Row],[Close]]-E68)/E68</f>
        <v>-2.0508795513878905E-2</v>
      </c>
    </row>
    <row r="70" spans="1:8" x14ac:dyDescent="0.25">
      <c r="A70" s="8">
        <v>43278</v>
      </c>
      <c r="B70" s="4">
        <v>49.34</v>
      </c>
      <c r="C70" s="4">
        <v>50.060001</v>
      </c>
      <c r="D70" s="4">
        <v>48.75</v>
      </c>
      <c r="E70" s="4">
        <v>48.759998000000003</v>
      </c>
      <c r="F70" s="4">
        <v>47.858798999999998</v>
      </c>
      <c r="G70" s="11">
        <v>33338800</v>
      </c>
      <c r="H70" s="3">
        <f>(INTC[[#This Row],[Close]]-E69)/E69</f>
        <v>-1.83209187968962E-2</v>
      </c>
    </row>
    <row r="71" spans="1:8" x14ac:dyDescent="0.25">
      <c r="A71" s="8">
        <v>43279</v>
      </c>
      <c r="B71" s="4">
        <v>48.580002</v>
      </c>
      <c r="C71" s="4">
        <v>49.490001999999997</v>
      </c>
      <c r="D71" s="4">
        <v>48.5</v>
      </c>
      <c r="E71" s="4">
        <v>49.25</v>
      </c>
      <c r="F71" s="4">
        <v>48.339740999999997</v>
      </c>
      <c r="G71" s="11">
        <v>29055700</v>
      </c>
      <c r="H71" s="3">
        <f>(INTC[[#This Row],[Close]]-E70)/E70</f>
        <v>1.0049262102102566E-2</v>
      </c>
    </row>
    <row r="72" spans="1:8" x14ac:dyDescent="0.25">
      <c r="A72" s="8">
        <v>43280</v>
      </c>
      <c r="B72" s="4">
        <v>49.529998999999997</v>
      </c>
      <c r="C72" s="4">
        <v>50.110000999999997</v>
      </c>
      <c r="D72" s="4">
        <v>49.5</v>
      </c>
      <c r="E72" s="4">
        <v>49.709999000000003</v>
      </c>
      <c r="F72" s="4">
        <v>48.791245000000004</v>
      </c>
      <c r="G72" s="11">
        <v>28906500</v>
      </c>
      <c r="H72" s="3">
        <f>(INTC[[#This Row],[Close]]-E71)/E71</f>
        <v>9.3400812182741801E-3</v>
      </c>
    </row>
    <row r="73" spans="1:8" x14ac:dyDescent="0.25">
      <c r="A73" s="8">
        <v>43283</v>
      </c>
      <c r="B73" s="4">
        <v>49.040000999999997</v>
      </c>
      <c r="C73" s="4">
        <v>50.27</v>
      </c>
      <c r="D73" s="4">
        <v>48.830002</v>
      </c>
      <c r="E73" s="4">
        <v>50.200001</v>
      </c>
      <c r="F73" s="4">
        <v>49.272190000000002</v>
      </c>
      <c r="G73" s="11">
        <v>23755500</v>
      </c>
      <c r="H73" s="3">
        <f>(INTC[[#This Row],[Close]]-E72)/E72</f>
        <v>9.8572120269001997E-3</v>
      </c>
    </row>
    <row r="74" spans="1:8" x14ac:dyDescent="0.25">
      <c r="A74" s="8">
        <v>43284</v>
      </c>
      <c r="B74" s="4">
        <v>50.580002</v>
      </c>
      <c r="C74" s="4">
        <v>50.860000999999997</v>
      </c>
      <c r="D74" s="4">
        <v>49.43</v>
      </c>
      <c r="E74" s="4">
        <v>49.470001000000003</v>
      </c>
      <c r="F74" s="4">
        <v>48.555678999999998</v>
      </c>
      <c r="G74" s="11">
        <v>16327900</v>
      </c>
      <c r="H74" s="3">
        <f>(INTC[[#This Row],[Close]]-E73)/E73</f>
        <v>-1.4541832379644711E-2</v>
      </c>
    </row>
    <row r="75" spans="1:8" x14ac:dyDescent="0.25">
      <c r="A75" s="8">
        <v>43286</v>
      </c>
      <c r="B75" s="4">
        <v>49.98</v>
      </c>
      <c r="C75" s="4">
        <v>50.959999000000003</v>
      </c>
      <c r="D75" s="4">
        <v>49.75</v>
      </c>
      <c r="E75" s="4">
        <v>50.75</v>
      </c>
      <c r="F75" s="4">
        <v>49.812018999999999</v>
      </c>
      <c r="G75" s="11">
        <v>26163500</v>
      </c>
      <c r="H75" s="3">
        <f>(INTC[[#This Row],[Close]]-E74)/E74</f>
        <v>2.5874246495365877E-2</v>
      </c>
    </row>
    <row r="76" spans="1:8" x14ac:dyDescent="0.25">
      <c r="A76" s="8">
        <v>43287</v>
      </c>
      <c r="B76" s="4">
        <v>50.77</v>
      </c>
      <c r="C76" s="4">
        <v>51.5</v>
      </c>
      <c r="D76" s="4">
        <v>50.400002000000001</v>
      </c>
      <c r="E76" s="4">
        <v>51.369999</v>
      </c>
      <c r="F76" s="4">
        <v>50.420563000000001</v>
      </c>
      <c r="G76" s="11">
        <v>19968000</v>
      </c>
      <c r="H76" s="3">
        <f>(INTC[[#This Row],[Close]]-E75)/E75</f>
        <v>1.2216729064039408E-2</v>
      </c>
    </row>
    <row r="77" spans="1:8" x14ac:dyDescent="0.25">
      <c r="A77" s="8">
        <v>43290</v>
      </c>
      <c r="B77" s="4">
        <v>51.639999000000003</v>
      </c>
      <c r="C77" s="4">
        <v>51.889999000000003</v>
      </c>
      <c r="D77" s="4">
        <v>51</v>
      </c>
      <c r="E77" s="4">
        <v>51.860000999999997</v>
      </c>
      <c r="F77" s="4">
        <v>50.901508</v>
      </c>
      <c r="G77" s="11">
        <v>21361600</v>
      </c>
      <c r="H77" s="3">
        <f>(INTC[[#This Row],[Close]]-E76)/E76</f>
        <v>9.5386803492053199E-3</v>
      </c>
    </row>
    <row r="78" spans="1:8" x14ac:dyDescent="0.25">
      <c r="A78" s="8">
        <v>43291</v>
      </c>
      <c r="B78" s="4">
        <v>52.099997999999999</v>
      </c>
      <c r="C78" s="4">
        <v>52.259998000000003</v>
      </c>
      <c r="D78" s="4">
        <v>51.84</v>
      </c>
      <c r="E78" s="4">
        <v>52.16</v>
      </c>
      <c r="F78" s="4">
        <v>51.195960999999997</v>
      </c>
      <c r="G78" s="11">
        <v>17362900</v>
      </c>
      <c r="H78" s="3">
        <f>(INTC[[#This Row],[Close]]-E77)/E77</f>
        <v>5.7847858506597351E-3</v>
      </c>
    </row>
    <row r="79" spans="1:8" x14ac:dyDescent="0.25">
      <c r="A79" s="8">
        <v>43292</v>
      </c>
      <c r="B79" s="4">
        <v>51.689999</v>
      </c>
      <c r="C79" s="4">
        <v>51.869999</v>
      </c>
      <c r="D79" s="4">
        <v>51.189999</v>
      </c>
      <c r="E79" s="4">
        <v>51.200001</v>
      </c>
      <c r="F79" s="4">
        <v>50.253708000000003</v>
      </c>
      <c r="G79" s="11">
        <v>18665600</v>
      </c>
      <c r="H79" s="3">
        <f>(INTC[[#This Row],[Close]]-E78)/E78</f>
        <v>-1.8404888803680911E-2</v>
      </c>
    </row>
    <row r="80" spans="1:8" x14ac:dyDescent="0.25">
      <c r="A80" s="8">
        <v>43293</v>
      </c>
      <c r="B80" s="4">
        <v>52.049999</v>
      </c>
      <c r="C80" s="4">
        <v>52.48</v>
      </c>
      <c r="D80" s="4">
        <v>51.73</v>
      </c>
      <c r="E80" s="4">
        <v>52.349997999999999</v>
      </c>
      <c r="F80" s="4">
        <v>51.382449999999999</v>
      </c>
      <c r="G80" s="11">
        <v>20292700</v>
      </c>
      <c r="H80" s="3">
        <f>(INTC[[#This Row],[Close]]-E79)/E79</f>
        <v>2.2460878467560948E-2</v>
      </c>
    </row>
    <row r="81" spans="1:8" x14ac:dyDescent="0.25">
      <c r="A81" s="8">
        <v>43294</v>
      </c>
      <c r="B81" s="4">
        <v>52.400002000000001</v>
      </c>
      <c r="C81" s="4">
        <v>52.419998</v>
      </c>
      <c r="D81" s="4">
        <v>51.759998000000003</v>
      </c>
      <c r="E81" s="4">
        <v>52.220001000000003</v>
      </c>
      <c r="F81" s="4">
        <v>51.254852</v>
      </c>
      <c r="G81" s="11">
        <v>13749300</v>
      </c>
      <c r="H81" s="3">
        <f>(INTC[[#This Row],[Close]]-E80)/E80</f>
        <v>-2.4832283661213495E-3</v>
      </c>
    </row>
    <row r="82" spans="1:8" x14ac:dyDescent="0.25">
      <c r="A82" s="8">
        <v>43297</v>
      </c>
      <c r="B82" s="4">
        <v>52.150002000000001</v>
      </c>
      <c r="C82" s="4">
        <v>52.32</v>
      </c>
      <c r="D82" s="4">
        <v>51.869999</v>
      </c>
      <c r="E82" s="4">
        <v>52.009998000000003</v>
      </c>
      <c r="F82" s="4">
        <v>51.048737000000003</v>
      </c>
      <c r="G82" s="11">
        <v>15951500</v>
      </c>
      <c r="H82" s="3">
        <f>(INTC[[#This Row],[Close]]-E81)/E81</f>
        <v>-4.0215050934219697E-3</v>
      </c>
    </row>
    <row r="83" spans="1:8" x14ac:dyDescent="0.25">
      <c r="A83" s="8">
        <v>43298</v>
      </c>
      <c r="B83" s="4">
        <v>51.049999</v>
      </c>
      <c r="C83" s="4">
        <v>51.880001</v>
      </c>
      <c r="D83" s="4">
        <v>51.009998000000003</v>
      </c>
      <c r="E83" s="4">
        <v>51.75</v>
      </c>
      <c r="F83" s="4">
        <v>50.793537000000001</v>
      </c>
      <c r="G83" s="11">
        <v>15754500</v>
      </c>
      <c r="H83" s="3">
        <f>(INTC[[#This Row],[Close]]-E82)/E82</f>
        <v>-4.9990003845030535E-3</v>
      </c>
    </row>
    <row r="84" spans="1:8" x14ac:dyDescent="0.25">
      <c r="A84" s="8">
        <v>43299</v>
      </c>
      <c r="B84" s="4">
        <v>51.869999</v>
      </c>
      <c r="C84" s="4">
        <v>51.970001000000003</v>
      </c>
      <c r="D84" s="4">
        <v>51.470001000000003</v>
      </c>
      <c r="E84" s="4">
        <v>51.720001000000003</v>
      </c>
      <c r="F84" s="4">
        <v>50.764091000000001</v>
      </c>
      <c r="G84" s="11">
        <v>14649000</v>
      </c>
      <c r="H84" s="3">
        <f>(INTC[[#This Row],[Close]]-E83)/E83</f>
        <v>-5.7969082125597208E-4</v>
      </c>
    </row>
    <row r="85" spans="1:8" x14ac:dyDescent="0.25">
      <c r="A85" s="8">
        <v>43300</v>
      </c>
      <c r="B85" s="4">
        <v>51.599997999999999</v>
      </c>
      <c r="C85" s="4">
        <v>52.009998000000003</v>
      </c>
      <c r="D85" s="4">
        <v>51.049999</v>
      </c>
      <c r="E85" s="4">
        <v>51.98</v>
      </c>
      <c r="F85" s="4">
        <v>51.019286999999998</v>
      </c>
      <c r="G85" s="11">
        <v>15954600</v>
      </c>
      <c r="H85" s="3">
        <f>(INTC[[#This Row],[Close]]-E84)/E84</f>
        <v>5.0270494000955917E-3</v>
      </c>
    </row>
    <row r="86" spans="1:8" x14ac:dyDescent="0.25">
      <c r="A86" s="8">
        <v>43301</v>
      </c>
      <c r="B86" s="4">
        <v>51.830002</v>
      </c>
      <c r="C86" s="4">
        <v>52.07</v>
      </c>
      <c r="D86" s="4">
        <v>51.330002</v>
      </c>
      <c r="E86" s="4">
        <v>51.91</v>
      </c>
      <c r="F86" s="4">
        <v>50.950583999999999</v>
      </c>
      <c r="G86" s="11">
        <v>17380500</v>
      </c>
      <c r="H86" s="3">
        <f>(INTC[[#This Row],[Close]]-E85)/E85</f>
        <v>-1.346671796844946E-3</v>
      </c>
    </row>
    <row r="87" spans="1:8" x14ac:dyDescent="0.25">
      <c r="A87" s="8">
        <v>43304</v>
      </c>
      <c r="B87" s="4">
        <v>51.77</v>
      </c>
      <c r="C87" s="4">
        <v>52.5</v>
      </c>
      <c r="D87" s="4">
        <v>51.330002</v>
      </c>
      <c r="E87" s="4">
        <v>52.310001</v>
      </c>
      <c r="F87" s="4">
        <v>51.343189000000002</v>
      </c>
      <c r="G87" s="11">
        <v>15945500</v>
      </c>
      <c r="H87" s="3">
        <f>(INTC[[#This Row],[Close]]-E86)/E86</f>
        <v>7.705663648622677E-3</v>
      </c>
    </row>
    <row r="88" spans="1:8" x14ac:dyDescent="0.25">
      <c r="A88" s="8">
        <v>43305</v>
      </c>
      <c r="B88" s="4">
        <v>52.759998000000003</v>
      </c>
      <c r="C88" s="4">
        <v>53.299999</v>
      </c>
      <c r="D88" s="4">
        <v>52.080002</v>
      </c>
      <c r="E88" s="4">
        <v>52.18</v>
      </c>
      <c r="F88" s="4">
        <v>51.215595</v>
      </c>
      <c r="G88" s="11">
        <v>17788700</v>
      </c>
      <c r="H88" s="3">
        <f>(INTC[[#This Row],[Close]]-E87)/E87</f>
        <v>-2.4852035464499422E-3</v>
      </c>
    </row>
    <row r="89" spans="1:8" x14ac:dyDescent="0.25">
      <c r="A89" s="8">
        <v>43306</v>
      </c>
      <c r="B89" s="4">
        <v>52.209999000000003</v>
      </c>
      <c r="C89" s="4">
        <v>52.450001</v>
      </c>
      <c r="D89" s="4">
        <v>51.09</v>
      </c>
      <c r="E89" s="4">
        <v>52.43</v>
      </c>
      <c r="F89" s="4">
        <v>51.460968000000001</v>
      </c>
      <c r="G89" s="11">
        <v>19854800</v>
      </c>
      <c r="H89" s="3">
        <f>(INTC[[#This Row],[Close]]-E88)/E88</f>
        <v>4.7911077041011881E-3</v>
      </c>
    </row>
    <row r="90" spans="1:8" x14ac:dyDescent="0.25">
      <c r="A90" s="8">
        <v>43307</v>
      </c>
      <c r="B90" s="4">
        <v>52.450001</v>
      </c>
      <c r="C90" s="4">
        <v>53.18</v>
      </c>
      <c r="D90" s="4">
        <v>51.869999</v>
      </c>
      <c r="E90" s="4">
        <v>52.16</v>
      </c>
      <c r="F90" s="4">
        <v>51.195960999999997</v>
      </c>
      <c r="G90" s="11">
        <v>28282500</v>
      </c>
      <c r="H90" s="3">
        <f>(INTC[[#This Row],[Close]]-E89)/E89</f>
        <v>-5.1497234407782404E-3</v>
      </c>
    </row>
    <row r="91" spans="1:8" x14ac:dyDescent="0.25">
      <c r="A91" s="8">
        <v>43308</v>
      </c>
      <c r="B91" s="4">
        <v>48.759998000000003</v>
      </c>
      <c r="C91" s="4">
        <v>49.200001</v>
      </c>
      <c r="D91" s="4">
        <v>47.48</v>
      </c>
      <c r="E91" s="4">
        <v>47.68</v>
      </c>
      <c r="F91" s="4">
        <v>46.798758999999997</v>
      </c>
      <c r="G91" s="11">
        <v>67816700</v>
      </c>
      <c r="H91" s="3">
        <f>(INTC[[#This Row],[Close]]-E90)/E90</f>
        <v>-8.5889570552147187E-2</v>
      </c>
    </row>
    <row r="92" spans="1:8" x14ac:dyDescent="0.25">
      <c r="A92" s="8">
        <v>43311</v>
      </c>
      <c r="B92" s="4">
        <v>47.630001</v>
      </c>
      <c r="C92" s="4">
        <v>47.990001999999997</v>
      </c>
      <c r="D92" s="4">
        <v>46.43</v>
      </c>
      <c r="E92" s="4">
        <v>47.689999</v>
      </c>
      <c r="F92" s="4">
        <v>46.808574999999998</v>
      </c>
      <c r="G92" s="11">
        <v>35696600</v>
      </c>
      <c r="H92" s="3">
        <f>(INTC[[#This Row],[Close]]-E91)/E91</f>
        <v>2.097105704698099E-4</v>
      </c>
    </row>
    <row r="93" spans="1:8" x14ac:dyDescent="0.25">
      <c r="A93" s="8">
        <v>43312</v>
      </c>
      <c r="B93" s="4">
        <v>48.240001999999997</v>
      </c>
      <c r="C93" s="4">
        <v>48.68</v>
      </c>
      <c r="D93" s="4">
        <v>47.689999</v>
      </c>
      <c r="E93" s="4">
        <v>48.099997999999999</v>
      </c>
      <c r="F93" s="4">
        <v>47.210999000000001</v>
      </c>
      <c r="G93" s="11">
        <v>36581200</v>
      </c>
      <c r="H93" s="3">
        <f>(INTC[[#This Row],[Close]]-E92)/E92</f>
        <v>8.5971693981373148E-3</v>
      </c>
    </row>
    <row r="94" spans="1:8" x14ac:dyDescent="0.25">
      <c r="A94" s="8">
        <v>43313</v>
      </c>
      <c r="B94" s="4">
        <v>48.060001</v>
      </c>
      <c r="C94" s="4">
        <v>48.91</v>
      </c>
      <c r="D94" s="4">
        <v>48</v>
      </c>
      <c r="E94" s="4">
        <v>48.810001</v>
      </c>
      <c r="F94" s="4">
        <v>47.907879000000001</v>
      </c>
      <c r="G94" s="11">
        <v>28060700</v>
      </c>
      <c r="H94" s="3">
        <f>(INTC[[#This Row],[Close]]-E93)/E93</f>
        <v>1.4760977744739208E-2</v>
      </c>
    </row>
    <row r="95" spans="1:8" x14ac:dyDescent="0.25">
      <c r="A95" s="8">
        <v>43314</v>
      </c>
      <c r="B95" s="4">
        <v>48.5</v>
      </c>
      <c r="C95" s="4">
        <v>49.52</v>
      </c>
      <c r="D95" s="4">
        <v>48.200001</v>
      </c>
      <c r="E95" s="4">
        <v>49.48</v>
      </c>
      <c r="F95" s="4">
        <v>48.565491000000002</v>
      </c>
      <c r="G95" s="11">
        <v>26452500</v>
      </c>
      <c r="H95" s="3">
        <f>(INTC[[#This Row],[Close]]-E94)/E94</f>
        <v>1.3726674580481921E-2</v>
      </c>
    </row>
    <row r="96" spans="1:8" x14ac:dyDescent="0.25">
      <c r="A96" s="8">
        <v>43315</v>
      </c>
      <c r="B96" s="4">
        <v>49.5</v>
      </c>
      <c r="C96" s="4">
        <v>49.779998999999997</v>
      </c>
      <c r="D96" s="4">
        <v>49.169998</v>
      </c>
      <c r="E96" s="4">
        <v>49.630001</v>
      </c>
      <c r="F96" s="4">
        <v>48.712722999999997</v>
      </c>
      <c r="G96" s="11">
        <v>22008200</v>
      </c>
      <c r="H96" s="3">
        <f>(INTC[[#This Row],[Close]]-E95)/E95</f>
        <v>3.0315481002425862E-3</v>
      </c>
    </row>
    <row r="97" spans="1:8" x14ac:dyDescent="0.25">
      <c r="A97" s="8">
        <v>43318</v>
      </c>
      <c r="B97" s="4">
        <v>48.77</v>
      </c>
      <c r="C97" s="4">
        <v>49.310001</v>
      </c>
      <c r="D97" s="4">
        <v>48.32</v>
      </c>
      <c r="E97" s="4">
        <v>49.299999</v>
      </c>
      <c r="F97" s="4">
        <v>48.683098000000001</v>
      </c>
      <c r="G97" s="11">
        <v>26669000</v>
      </c>
      <c r="H97" s="3">
        <f>(INTC[[#This Row],[Close]]-E96)/E96</f>
        <v>-6.6492442746475134E-3</v>
      </c>
    </row>
    <row r="98" spans="1:8" x14ac:dyDescent="0.25">
      <c r="A98" s="8">
        <v>43319</v>
      </c>
      <c r="B98" s="4">
        <v>49.43</v>
      </c>
      <c r="C98" s="4">
        <v>49.830002</v>
      </c>
      <c r="D98" s="4">
        <v>49.41</v>
      </c>
      <c r="E98" s="4">
        <v>49.700001</v>
      </c>
      <c r="F98" s="4">
        <v>49.078094</v>
      </c>
      <c r="G98" s="11">
        <v>28322700</v>
      </c>
      <c r="H98" s="3">
        <f>(INTC[[#This Row],[Close]]-E97)/E97</f>
        <v>8.1136309962197093E-3</v>
      </c>
    </row>
    <row r="99" spans="1:8" x14ac:dyDescent="0.25">
      <c r="A99" s="8">
        <v>43320</v>
      </c>
      <c r="B99" s="4">
        <v>49.599997999999999</v>
      </c>
      <c r="C99" s="4">
        <v>50.130001</v>
      </c>
      <c r="D99" s="4">
        <v>49.439999</v>
      </c>
      <c r="E99" s="4">
        <v>49.959999000000003</v>
      </c>
      <c r="F99" s="4">
        <v>49.334834999999998</v>
      </c>
      <c r="G99" s="11">
        <v>21990600</v>
      </c>
      <c r="H99" s="3">
        <f>(INTC[[#This Row],[Close]]-E98)/E98</f>
        <v>5.2313479832727383E-3</v>
      </c>
    </row>
    <row r="100" spans="1:8" x14ac:dyDescent="0.25">
      <c r="A100" s="8">
        <v>43321</v>
      </c>
      <c r="B100" s="4">
        <v>49.860000999999997</v>
      </c>
      <c r="C100" s="4">
        <v>50.599997999999999</v>
      </c>
      <c r="D100" s="4">
        <v>49.720001000000003</v>
      </c>
      <c r="E100" s="4">
        <v>50.139999000000003</v>
      </c>
      <c r="F100" s="4">
        <v>49.512585000000001</v>
      </c>
      <c r="G100" s="11">
        <v>23788200</v>
      </c>
      <c r="H100" s="3">
        <f>(INTC[[#This Row],[Close]]-E99)/E99</f>
        <v>3.6028823779600096E-3</v>
      </c>
    </row>
    <row r="101" spans="1:8" x14ac:dyDescent="0.25">
      <c r="A101" s="8">
        <v>43322</v>
      </c>
      <c r="B101" s="4">
        <v>48.509998000000003</v>
      </c>
      <c r="C101" s="4">
        <v>49.169998</v>
      </c>
      <c r="D101" s="4">
        <v>48.299999</v>
      </c>
      <c r="E101" s="4">
        <v>48.849997999999999</v>
      </c>
      <c r="F101" s="4">
        <v>48.238728000000002</v>
      </c>
      <c r="G101" s="11">
        <v>28712400</v>
      </c>
      <c r="H101" s="3">
        <f>(INTC[[#This Row],[Close]]-E100)/E100</f>
        <v>-2.5727982164499119E-2</v>
      </c>
    </row>
    <row r="102" spans="1:8" x14ac:dyDescent="0.25">
      <c r="A102" s="8">
        <v>43325</v>
      </c>
      <c r="B102" s="4">
        <v>48.919998</v>
      </c>
      <c r="C102" s="4">
        <v>49.240001999999997</v>
      </c>
      <c r="D102" s="4">
        <v>48.380001</v>
      </c>
      <c r="E102" s="4">
        <v>48.450001</v>
      </c>
      <c r="F102" s="4">
        <v>47.843735000000002</v>
      </c>
      <c r="G102" s="11">
        <v>17002700</v>
      </c>
      <c r="H102" s="3">
        <f>(INTC[[#This Row],[Close]]-E101)/E101</f>
        <v>-8.1882705501850599E-3</v>
      </c>
    </row>
    <row r="103" spans="1:8" x14ac:dyDescent="0.25">
      <c r="A103" s="8">
        <v>43326</v>
      </c>
      <c r="B103" s="4">
        <v>48.669998</v>
      </c>
      <c r="C103" s="4">
        <v>48.759998000000003</v>
      </c>
      <c r="D103" s="4">
        <v>47.650002000000001</v>
      </c>
      <c r="E103" s="4">
        <v>48.119999</v>
      </c>
      <c r="F103" s="4">
        <v>47.517864000000003</v>
      </c>
      <c r="G103" s="11">
        <v>23061600</v>
      </c>
      <c r="H103" s="3">
        <f>(INTC[[#This Row],[Close]]-E102)/E102</f>
        <v>-6.8111866499239154E-3</v>
      </c>
    </row>
    <row r="104" spans="1:8" x14ac:dyDescent="0.25">
      <c r="A104" s="8">
        <v>43327</v>
      </c>
      <c r="B104" s="4">
        <v>47.779998999999997</v>
      </c>
      <c r="C104" s="4">
        <v>48</v>
      </c>
      <c r="D104" s="4">
        <v>46.900002000000001</v>
      </c>
      <c r="E104" s="4">
        <v>47.459999000000003</v>
      </c>
      <c r="F104" s="4">
        <v>46.866118999999998</v>
      </c>
      <c r="G104" s="11">
        <v>26739900</v>
      </c>
      <c r="H104" s="3">
        <f>(INTC[[#This Row],[Close]]-E103)/E103</f>
        <v>-1.3715711008223349E-2</v>
      </c>
    </row>
    <row r="105" spans="1:8" x14ac:dyDescent="0.25">
      <c r="A105" s="8">
        <v>43328</v>
      </c>
      <c r="B105" s="4">
        <v>47.75</v>
      </c>
      <c r="C105" s="4">
        <v>47.950001</v>
      </c>
      <c r="D105" s="4">
        <v>47.049999</v>
      </c>
      <c r="E105" s="4">
        <v>47.169998</v>
      </c>
      <c r="F105" s="4">
        <v>46.579746</v>
      </c>
      <c r="G105" s="11">
        <v>24358000</v>
      </c>
      <c r="H105" s="3">
        <f>(INTC[[#This Row],[Close]]-E104)/E104</f>
        <v>-6.1104299644002035E-3</v>
      </c>
    </row>
    <row r="106" spans="1:8" x14ac:dyDescent="0.25">
      <c r="A106" s="8">
        <v>43329</v>
      </c>
      <c r="B106" s="4">
        <v>47</v>
      </c>
      <c r="C106" s="4">
        <v>47.389999000000003</v>
      </c>
      <c r="D106" s="4">
        <v>46.330002</v>
      </c>
      <c r="E106" s="4">
        <v>47.099997999999999</v>
      </c>
      <c r="F106" s="4">
        <v>46.510624</v>
      </c>
      <c r="G106" s="11">
        <v>26382000</v>
      </c>
      <c r="H106" s="3">
        <f>(INTC[[#This Row],[Close]]-E105)/E105</f>
        <v>-1.4839941269448491E-3</v>
      </c>
    </row>
    <row r="107" spans="1:8" x14ac:dyDescent="0.25">
      <c r="A107" s="8">
        <v>43332</v>
      </c>
      <c r="B107" s="4">
        <v>47.049999</v>
      </c>
      <c r="C107" s="4">
        <v>47.119999</v>
      </c>
      <c r="D107" s="4">
        <v>46.189999</v>
      </c>
      <c r="E107" s="4">
        <v>46.5</v>
      </c>
      <c r="F107" s="4">
        <v>45.918137000000002</v>
      </c>
      <c r="G107" s="11">
        <v>24334000</v>
      </c>
      <c r="H107" s="3">
        <f>(INTC[[#This Row],[Close]]-E106)/E106</f>
        <v>-1.2738811581265871E-2</v>
      </c>
    </row>
    <row r="108" spans="1:8" x14ac:dyDescent="0.25">
      <c r="A108" s="8">
        <v>43333</v>
      </c>
      <c r="B108" s="4">
        <v>46.66</v>
      </c>
      <c r="C108" s="4">
        <v>47.849997999999999</v>
      </c>
      <c r="D108" s="4">
        <v>46.639999000000003</v>
      </c>
      <c r="E108" s="4">
        <v>47.619999</v>
      </c>
      <c r="F108" s="4">
        <v>47.024120000000003</v>
      </c>
      <c r="G108" s="11">
        <v>19254300</v>
      </c>
      <c r="H108" s="3">
        <f>(INTC[[#This Row],[Close]]-E107)/E107</f>
        <v>2.4086E-2</v>
      </c>
    </row>
    <row r="109" spans="1:8" x14ac:dyDescent="0.25">
      <c r="A109" s="8">
        <v>43334</v>
      </c>
      <c r="B109" s="4">
        <v>47.25</v>
      </c>
      <c r="C109" s="4">
        <v>47.349997999999999</v>
      </c>
      <c r="D109" s="4">
        <v>46.919998</v>
      </c>
      <c r="E109" s="4">
        <v>47.049999</v>
      </c>
      <c r="F109" s="4">
        <v>46.46125</v>
      </c>
      <c r="G109" s="11">
        <v>23182500</v>
      </c>
      <c r="H109" s="3">
        <f>(INTC[[#This Row],[Close]]-E108)/E108</f>
        <v>-1.196976085614786E-2</v>
      </c>
    </row>
    <row r="110" spans="1:8" x14ac:dyDescent="0.25">
      <c r="A110" s="8">
        <v>43335</v>
      </c>
      <c r="B110" s="4">
        <v>46.860000999999997</v>
      </c>
      <c r="C110" s="4">
        <v>47.169998</v>
      </c>
      <c r="D110" s="4">
        <v>46.709999000000003</v>
      </c>
      <c r="E110" s="4">
        <v>46.98</v>
      </c>
      <c r="F110" s="4">
        <v>46.392128</v>
      </c>
      <c r="G110" s="11">
        <v>31343200</v>
      </c>
      <c r="H110" s="3">
        <f>(INTC[[#This Row],[Close]]-E109)/E109</f>
        <v>-1.4877577361904473E-3</v>
      </c>
    </row>
    <row r="111" spans="1:8" x14ac:dyDescent="0.25">
      <c r="A111" s="8">
        <v>43336</v>
      </c>
      <c r="B111" s="4">
        <v>47.290000999999997</v>
      </c>
      <c r="C111" s="4">
        <v>47.889999000000003</v>
      </c>
      <c r="D111" s="4">
        <v>47.080002</v>
      </c>
      <c r="E111" s="4">
        <v>47.66</v>
      </c>
      <c r="F111" s="4">
        <v>47.063617999999998</v>
      </c>
      <c r="G111" s="11">
        <v>18214700</v>
      </c>
      <c r="H111" s="3">
        <f>(INTC[[#This Row],[Close]]-E110)/E110</f>
        <v>1.4474244359301825E-2</v>
      </c>
    </row>
    <row r="112" spans="1:8" x14ac:dyDescent="0.25">
      <c r="A112" s="8">
        <v>43339</v>
      </c>
      <c r="B112" s="4">
        <v>48</v>
      </c>
      <c r="C112" s="4">
        <v>48.389999000000003</v>
      </c>
      <c r="D112" s="4">
        <v>47.630001</v>
      </c>
      <c r="E112" s="4">
        <v>48.349997999999999</v>
      </c>
      <c r="F112" s="4">
        <v>47.744984000000002</v>
      </c>
      <c r="G112" s="11">
        <v>17170300</v>
      </c>
      <c r="H112" s="3">
        <f>(INTC[[#This Row],[Close]]-E111)/E111</f>
        <v>1.4477507343684491E-2</v>
      </c>
    </row>
    <row r="113" spans="1:8" x14ac:dyDescent="0.25">
      <c r="A113" s="8">
        <v>43340</v>
      </c>
      <c r="B113" s="4">
        <v>48.549999</v>
      </c>
      <c r="C113" s="4">
        <v>48.790000999999997</v>
      </c>
      <c r="D113" s="4">
        <v>48.310001</v>
      </c>
      <c r="E113" s="4">
        <v>48.57</v>
      </c>
      <c r="F113" s="4">
        <v>47.962231000000003</v>
      </c>
      <c r="G113" s="11">
        <v>13472400</v>
      </c>
      <c r="H113" s="3">
        <f>(INTC[[#This Row],[Close]]-E112)/E112</f>
        <v>4.5501966721901606E-3</v>
      </c>
    </row>
    <row r="114" spans="1:8" x14ac:dyDescent="0.25">
      <c r="A114" s="8">
        <v>43341</v>
      </c>
      <c r="B114" s="4">
        <v>48.700001</v>
      </c>
      <c r="C114" s="4">
        <v>48.860000999999997</v>
      </c>
      <c r="D114" s="4">
        <v>48.400002000000001</v>
      </c>
      <c r="E114" s="4">
        <v>48.75</v>
      </c>
      <c r="F114" s="4">
        <v>48.139980000000001</v>
      </c>
      <c r="G114" s="11">
        <v>13479100</v>
      </c>
      <c r="H114" s="3">
        <f>(INTC[[#This Row],[Close]]-E113)/E113</f>
        <v>3.7059913526868377E-3</v>
      </c>
    </row>
    <row r="115" spans="1:8" x14ac:dyDescent="0.25">
      <c r="A115" s="8">
        <v>43342</v>
      </c>
      <c r="B115" s="4">
        <v>48.52</v>
      </c>
      <c r="C115" s="4">
        <v>48.830002</v>
      </c>
      <c r="D115" s="4">
        <v>48.09</v>
      </c>
      <c r="E115" s="4">
        <v>48.240001999999997</v>
      </c>
      <c r="F115" s="4">
        <v>47.636364</v>
      </c>
      <c r="G115" s="11">
        <v>16418800</v>
      </c>
      <c r="H115" s="3">
        <f>(INTC[[#This Row],[Close]]-E114)/E114</f>
        <v>-1.0461497435897499E-2</v>
      </c>
    </row>
    <row r="116" spans="1:8" x14ac:dyDescent="0.25">
      <c r="A116" s="8">
        <v>43343</v>
      </c>
      <c r="B116" s="4">
        <v>47.959999000000003</v>
      </c>
      <c r="C116" s="4">
        <v>48.560001</v>
      </c>
      <c r="D116" s="4">
        <v>47.919998</v>
      </c>
      <c r="E116" s="4">
        <v>48.43</v>
      </c>
      <c r="F116" s="4">
        <v>47.823985999999998</v>
      </c>
      <c r="G116" s="11">
        <v>16484000</v>
      </c>
      <c r="H116" s="3">
        <f>(INTC[[#This Row],[Close]]-E115)/E115</f>
        <v>3.9385985100084111E-3</v>
      </c>
    </row>
    <row r="117" spans="1:8" x14ac:dyDescent="0.25">
      <c r="A117" s="8">
        <v>43347</v>
      </c>
      <c r="B117" s="4">
        <v>48.380001</v>
      </c>
      <c r="C117" s="4">
        <v>48.43</v>
      </c>
      <c r="D117" s="4">
        <v>47.560001</v>
      </c>
      <c r="E117" s="4">
        <v>47.959999000000003</v>
      </c>
      <c r="F117" s="4">
        <v>47.359862999999997</v>
      </c>
      <c r="G117" s="11">
        <v>15682900</v>
      </c>
      <c r="H117" s="3">
        <f>(INTC[[#This Row],[Close]]-E116)/E116</f>
        <v>-9.7047491224446902E-3</v>
      </c>
    </row>
    <row r="118" spans="1:8" x14ac:dyDescent="0.25">
      <c r="A118" s="8">
        <v>43348</v>
      </c>
      <c r="B118" s="4">
        <v>47.75</v>
      </c>
      <c r="C118" s="4">
        <v>48.119999</v>
      </c>
      <c r="D118" s="4">
        <v>47.470001000000003</v>
      </c>
      <c r="E118" s="4">
        <v>47.720001000000003</v>
      </c>
      <c r="F118" s="4">
        <v>47.122871000000004</v>
      </c>
      <c r="G118" s="11">
        <v>20857200</v>
      </c>
      <c r="H118" s="3">
        <f>(INTC[[#This Row],[Close]]-E117)/E117</f>
        <v>-5.0041285447065985E-3</v>
      </c>
    </row>
    <row r="119" spans="1:8" x14ac:dyDescent="0.25">
      <c r="A119" s="8">
        <v>43349</v>
      </c>
      <c r="B119" s="4">
        <v>47.759998000000003</v>
      </c>
      <c r="C119" s="4">
        <v>47.959999000000003</v>
      </c>
      <c r="D119" s="4">
        <v>47.209999000000003</v>
      </c>
      <c r="E119" s="4">
        <v>47.259998000000003</v>
      </c>
      <c r="F119" s="4">
        <v>46.668624999999999</v>
      </c>
      <c r="G119" s="11">
        <v>19318100</v>
      </c>
      <c r="H119" s="3">
        <f>(INTC[[#This Row],[Close]]-E118)/E118</f>
        <v>-9.6396267887756404E-3</v>
      </c>
    </row>
    <row r="120" spans="1:8" x14ac:dyDescent="0.25">
      <c r="A120" s="8">
        <v>43350</v>
      </c>
      <c r="B120" s="4">
        <v>46.91</v>
      </c>
      <c r="C120" s="4">
        <v>47.48</v>
      </c>
      <c r="D120" s="4">
        <v>46.360000999999997</v>
      </c>
      <c r="E120" s="4">
        <v>46.450001</v>
      </c>
      <c r="F120" s="4">
        <v>45.868763000000001</v>
      </c>
      <c r="G120" s="11">
        <v>25958300</v>
      </c>
      <c r="H120" s="3">
        <f>(INTC[[#This Row],[Close]]-E119)/E119</f>
        <v>-1.7139167039321557E-2</v>
      </c>
    </row>
    <row r="121" spans="1:8" x14ac:dyDescent="0.25">
      <c r="A121" s="8">
        <v>43353</v>
      </c>
      <c r="B121" s="4">
        <v>46.560001</v>
      </c>
      <c r="C121" s="4">
        <v>46.759998000000003</v>
      </c>
      <c r="D121" s="4">
        <v>46.23</v>
      </c>
      <c r="E121" s="4">
        <v>46.299999</v>
      </c>
      <c r="F121" s="4">
        <v>45.720638000000001</v>
      </c>
      <c r="G121" s="11">
        <v>21522400</v>
      </c>
      <c r="H121" s="3">
        <f>(INTC[[#This Row],[Close]]-E120)/E120</f>
        <v>-3.2293217819306533E-3</v>
      </c>
    </row>
    <row r="122" spans="1:8" x14ac:dyDescent="0.25">
      <c r="A122" s="8">
        <v>43354</v>
      </c>
      <c r="B122" s="4">
        <v>46</v>
      </c>
      <c r="C122" s="4">
        <v>46.029998999999997</v>
      </c>
      <c r="D122" s="4">
        <v>44.889999000000003</v>
      </c>
      <c r="E122" s="4">
        <v>44.93</v>
      </c>
      <c r="F122" s="4">
        <v>44.367783000000003</v>
      </c>
      <c r="G122" s="11">
        <v>32455300</v>
      </c>
      <c r="H122" s="3">
        <f>(INTC[[#This Row],[Close]]-E121)/E121</f>
        <v>-2.9589611870186001E-2</v>
      </c>
    </row>
    <row r="123" spans="1:8" x14ac:dyDescent="0.25">
      <c r="A123" s="8">
        <v>43355</v>
      </c>
      <c r="B123" s="4">
        <v>44.560001</v>
      </c>
      <c r="C123" s="4">
        <v>44.98</v>
      </c>
      <c r="D123" s="4">
        <v>44.060001</v>
      </c>
      <c r="E123" s="4">
        <v>44.93</v>
      </c>
      <c r="F123" s="4">
        <v>44.367783000000003</v>
      </c>
      <c r="G123" s="11">
        <v>29778700</v>
      </c>
      <c r="H123" s="3">
        <f>(INTC[[#This Row],[Close]]-E122)/E122</f>
        <v>0</v>
      </c>
    </row>
    <row r="124" spans="1:8" x14ac:dyDescent="0.25">
      <c r="A124" s="8">
        <v>43356</v>
      </c>
      <c r="B124" s="4">
        <v>45.68</v>
      </c>
      <c r="C124" s="4">
        <v>45.849997999999999</v>
      </c>
      <c r="D124" s="4">
        <v>45.110000999999997</v>
      </c>
      <c r="E124" s="4">
        <v>45.57</v>
      </c>
      <c r="F124" s="4">
        <v>44.999775</v>
      </c>
      <c r="G124" s="11">
        <v>18657100</v>
      </c>
      <c r="H124" s="3">
        <f>(INTC[[#This Row],[Close]]-E123)/E123</f>
        <v>1.4244380146895183E-2</v>
      </c>
    </row>
    <row r="125" spans="1:8" x14ac:dyDescent="0.25">
      <c r="A125" s="8">
        <v>43357</v>
      </c>
      <c r="B125" s="4">
        <v>45.779998999999997</v>
      </c>
      <c r="C125" s="4">
        <v>45.970001000000003</v>
      </c>
      <c r="D125" s="4">
        <v>45.349997999999999</v>
      </c>
      <c r="E125" s="4">
        <v>45.540000999999997</v>
      </c>
      <c r="F125" s="4">
        <v>44.970149999999997</v>
      </c>
      <c r="G125" s="11">
        <v>22998700</v>
      </c>
      <c r="H125" s="3">
        <f>(INTC[[#This Row],[Close]]-E124)/E124</f>
        <v>-6.5830590300644423E-4</v>
      </c>
    </row>
    <row r="126" spans="1:8" x14ac:dyDescent="0.25">
      <c r="A126" s="8">
        <v>43360</v>
      </c>
      <c r="B126" s="4">
        <v>45.290000999999997</v>
      </c>
      <c r="C126" s="4">
        <v>45.900002000000001</v>
      </c>
      <c r="D126" s="4">
        <v>45.189999</v>
      </c>
      <c r="E126" s="4">
        <v>45.419998</v>
      </c>
      <c r="F126" s="4">
        <v>44.851646000000002</v>
      </c>
      <c r="G126" s="11">
        <v>17603200</v>
      </c>
      <c r="H126" s="3">
        <f>(INTC[[#This Row],[Close]]-E125)/E125</f>
        <v>-2.6351119315960706E-3</v>
      </c>
    </row>
    <row r="127" spans="1:8" x14ac:dyDescent="0.25">
      <c r="A127" s="8">
        <v>43361</v>
      </c>
      <c r="B127" s="4">
        <v>45.580002</v>
      </c>
      <c r="C127" s="4">
        <v>46.529998999999997</v>
      </c>
      <c r="D127" s="4">
        <v>45.41</v>
      </c>
      <c r="E127" s="4">
        <v>46.099997999999999</v>
      </c>
      <c r="F127" s="4">
        <v>45.523139999999998</v>
      </c>
      <c r="G127" s="11">
        <v>20528100</v>
      </c>
      <c r="H127" s="3">
        <f>(INTC[[#This Row],[Close]]-E126)/E126</f>
        <v>1.4971378906709765E-2</v>
      </c>
    </row>
    <row r="128" spans="1:8" x14ac:dyDescent="0.25">
      <c r="A128" s="8">
        <v>43362</v>
      </c>
      <c r="B128" s="4">
        <v>46.09</v>
      </c>
      <c r="C128" s="4">
        <v>46.439999</v>
      </c>
      <c r="D128" s="4">
        <v>45.889999000000003</v>
      </c>
      <c r="E128" s="4">
        <v>46.150002000000001</v>
      </c>
      <c r="F128" s="4">
        <v>45.572516999999998</v>
      </c>
      <c r="G128" s="11">
        <v>15918900</v>
      </c>
      <c r="H128" s="3">
        <f>(INTC[[#This Row],[Close]]-E127)/E127</f>
        <v>1.0846855134354079E-3</v>
      </c>
    </row>
    <row r="129" spans="1:8" x14ac:dyDescent="0.25">
      <c r="A129" s="8">
        <v>43363</v>
      </c>
      <c r="B129" s="4">
        <v>46.779998999999997</v>
      </c>
      <c r="C129" s="4">
        <v>47.360000999999997</v>
      </c>
      <c r="D129" s="4">
        <v>46.52</v>
      </c>
      <c r="E129" s="4">
        <v>47.200001</v>
      </c>
      <c r="F129" s="4">
        <v>46.609375</v>
      </c>
      <c r="G129" s="11">
        <v>21999300</v>
      </c>
      <c r="H129" s="3">
        <f>(INTC[[#This Row],[Close]]-E128)/E128</f>
        <v>2.2751873336863553E-2</v>
      </c>
    </row>
    <row r="130" spans="1:8" x14ac:dyDescent="0.25">
      <c r="A130" s="8">
        <v>43364</v>
      </c>
      <c r="B130" s="4">
        <v>47.119999</v>
      </c>
      <c r="C130" s="4">
        <v>47.419998</v>
      </c>
      <c r="D130" s="4">
        <v>46.369999</v>
      </c>
      <c r="E130" s="4">
        <v>46.66</v>
      </c>
      <c r="F130" s="4">
        <v>46.076134000000003</v>
      </c>
      <c r="G130" s="11">
        <v>52650600</v>
      </c>
      <c r="H130" s="3">
        <f>(INTC[[#This Row],[Close]]-E129)/E129</f>
        <v>-1.1440698910154763E-2</v>
      </c>
    </row>
    <row r="131" spans="1:8" x14ac:dyDescent="0.25">
      <c r="A131" s="8">
        <v>43367</v>
      </c>
      <c r="B131" s="4">
        <v>46.310001</v>
      </c>
      <c r="C131" s="4">
        <v>47</v>
      </c>
      <c r="D131" s="4">
        <v>46.150002000000001</v>
      </c>
      <c r="E131" s="4">
        <v>46.91</v>
      </c>
      <c r="F131" s="4">
        <v>46.323005999999999</v>
      </c>
      <c r="G131" s="11">
        <v>17847000</v>
      </c>
      <c r="H131" s="3">
        <f>(INTC[[#This Row],[Close]]-E130)/E130</f>
        <v>5.3579082726103733E-3</v>
      </c>
    </row>
    <row r="132" spans="1:8" x14ac:dyDescent="0.25">
      <c r="A132" s="8">
        <v>43368</v>
      </c>
      <c r="B132" s="4">
        <v>46.220001000000003</v>
      </c>
      <c r="C132" s="4">
        <v>46.389999000000003</v>
      </c>
      <c r="D132" s="4">
        <v>45.799999</v>
      </c>
      <c r="E132" s="4">
        <v>45.91</v>
      </c>
      <c r="F132" s="4">
        <v>45.335518</v>
      </c>
      <c r="G132" s="11">
        <v>23389900</v>
      </c>
      <c r="H132" s="3">
        <f>(INTC[[#This Row],[Close]]-E131)/E131</f>
        <v>-2.1317416329140911E-2</v>
      </c>
    </row>
    <row r="133" spans="1:8" x14ac:dyDescent="0.25">
      <c r="A133" s="8">
        <v>43369</v>
      </c>
      <c r="B133" s="4">
        <v>46.040000999999997</v>
      </c>
      <c r="C133" s="4">
        <v>46.299999</v>
      </c>
      <c r="D133" s="4">
        <v>45.580002</v>
      </c>
      <c r="E133" s="4">
        <v>45.700001</v>
      </c>
      <c r="F133" s="4">
        <v>45.128143000000001</v>
      </c>
      <c r="G133" s="11">
        <v>23957700</v>
      </c>
      <c r="H133" s="3">
        <f>(INTC[[#This Row],[Close]]-E132)/E132</f>
        <v>-4.5741450664342469E-3</v>
      </c>
    </row>
    <row r="134" spans="1:8" x14ac:dyDescent="0.25">
      <c r="A134" s="8">
        <v>43370</v>
      </c>
      <c r="B134" s="4">
        <v>45.91</v>
      </c>
      <c r="C134" s="4">
        <v>46.169998</v>
      </c>
      <c r="D134" s="4">
        <v>45.73</v>
      </c>
      <c r="E134" s="4">
        <v>45.880001</v>
      </c>
      <c r="F134" s="4">
        <v>45.305892999999998</v>
      </c>
      <c r="G134" s="11">
        <v>15415500</v>
      </c>
      <c r="H134" s="3">
        <f>(INTC[[#This Row],[Close]]-E133)/E133</f>
        <v>3.9387307672050101E-3</v>
      </c>
    </row>
    <row r="135" spans="1:8" x14ac:dyDescent="0.25">
      <c r="A135" s="8">
        <v>43371</v>
      </c>
      <c r="B135" s="4">
        <v>45.619999</v>
      </c>
      <c r="C135" s="4">
        <v>47.75</v>
      </c>
      <c r="D135" s="4">
        <v>45.459999000000003</v>
      </c>
      <c r="E135" s="4">
        <v>47.290000999999997</v>
      </c>
      <c r="F135" s="4">
        <v>46.698250000000002</v>
      </c>
      <c r="G135" s="11">
        <v>46223500</v>
      </c>
      <c r="H135" s="3">
        <f>(INTC[[#This Row],[Close]]-E134)/E134</f>
        <v>3.0732344578632345E-2</v>
      </c>
    </row>
    <row r="136" spans="1:8" x14ac:dyDescent="0.25">
      <c r="A136" s="8">
        <v>43374</v>
      </c>
      <c r="B136" s="4">
        <v>46.790000999999997</v>
      </c>
      <c r="C136" s="4">
        <v>47.220001000000003</v>
      </c>
      <c r="D136" s="4">
        <v>46.200001</v>
      </c>
      <c r="E136" s="4">
        <v>46.450001</v>
      </c>
      <c r="F136" s="4">
        <v>45.868763000000001</v>
      </c>
      <c r="G136" s="11">
        <v>23796200</v>
      </c>
      <c r="H136" s="3">
        <f>(INTC[[#This Row],[Close]]-E135)/E135</f>
        <v>-1.7762740161498335E-2</v>
      </c>
    </row>
    <row r="137" spans="1:8" x14ac:dyDescent="0.25">
      <c r="A137" s="8">
        <v>43375</v>
      </c>
      <c r="B137" s="4">
        <v>47.509998000000003</v>
      </c>
      <c r="C137" s="4">
        <v>48.880001</v>
      </c>
      <c r="D137" s="4">
        <v>47.32</v>
      </c>
      <c r="E137" s="4">
        <v>48.099997999999999</v>
      </c>
      <c r="F137" s="4">
        <v>47.498111999999999</v>
      </c>
      <c r="G137" s="11">
        <v>42121100</v>
      </c>
      <c r="H137" s="3">
        <f>(INTC[[#This Row],[Close]]-E136)/E136</f>
        <v>3.5522001388116203E-2</v>
      </c>
    </row>
    <row r="138" spans="1:8" x14ac:dyDescent="0.25">
      <c r="A138" s="8">
        <v>43376</v>
      </c>
      <c r="B138" s="4">
        <v>48.619999</v>
      </c>
      <c r="C138" s="4">
        <v>49.720001000000003</v>
      </c>
      <c r="D138" s="4">
        <v>48.560001</v>
      </c>
      <c r="E138" s="4">
        <v>48.759998000000003</v>
      </c>
      <c r="F138" s="4">
        <v>48.149853</v>
      </c>
      <c r="G138" s="11">
        <v>39211900</v>
      </c>
      <c r="H138" s="3">
        <f>(INTC[[#This Row],[Close]]-E137)/E137</f>
        <v>1.3721414291950776E-2</v>
      </c>
    </row>
    <row r="139" spans="1:8" x14ac:dyDescent="0.25">
      <c r="A139" s="8">
        <v>43377</v>
      </c>
      <c r="B139" s="4">
        <v>48.84</v>
      </c>
      <c r="C139" s="4">
        <v>48.860000999999997</v>
      </c>
      <c r="D139" s="4">
        <v>47.619999</v>
      </c>
      <c r="E139" s="4">
        <v>48.130001</v>
      </c>
      <c r="F139" s="4">
        <v>47.527740000000001</v>
      </c>
      <c r="G139" s="11">
        <v>30108300</v>
      </c>
      <c r="H139" s="3">
        <f>(INTC[[#This Row],[Close]]-E138)/E138</f>
        <v>-1.2920365583280028E-2</v>
      </c>
    </row>
    <row r="140" spans="1:8" x14ac:dyDescent="0.25">
      <c r="A140" s="8">
        <v>43378</v>
      </c>
      <c r="B140" s="4">
        <v>48.23</v>
      </c>
      <c r="C140" s="4">
        <v>48.34</v>
      </c>
      <c r="D140" s="4">
        <v>46.66</v>
      </c>
      <c r="E140" s="4">
        <v>47.029998999999997</v>
      </c>
      <c r="F140" s="4">
        <v>46.441502</v>
      </c>
      <c r="G140" s="11">
        <v>28901400</v>
      </c>
      <c r="H140" s="3">
        <f>(INTC[[#This Row],[Close]]-E139)/E139</f>
        <v>-2.2854809415025847E-2</v>
      </c>
    </row>
    <row r="141" spans="1:8" x14ac:dyDescent="0.25">
      <c r="A141" s="8">
        <v>43381</v>
      </c>
      <c r="B141" s="4">
        <v>46.959999000000003</v>
      </c>
      <c r="C141" s="4">
        <v>47.349997999999999</v>
      </c>
      <c r="D141" s="4">
        <v>46.52</v>
      </c>
      <c r="E141" s="4">
        <v>47.029998999999997</v>
      </c>
      <c r="F141" s="4">
        <v>46.441502</v>
      </c>
      <c r="G141" s="11">
        <v>19376800</v>
      </c>
      <c r="H141" s="3">
        <f>(INTC[[#This Row],[Close]]-E140)/E140</f>
        <v>0</v>
      </c>
    </row>
    <row r="142" spans="1:8" x14ac:dyDescent="0.25">
      <c r="A142" s="8">
        <v>43382</v>
      </c>
      <c r="B142" s="4">
        <v>47.18</v>
      </c>
      <c r="C142" s="4">
        <v>47.619999</v>
      </c>
      <c r="D142" s="4">
        <v>46.540000999999997</v>
      </c>
      <c r="E142" s="4">
        <v>46.549999</v>
      </c>
      <c r="F142" s="4">
        <v>45.967509999999997</v>
      </c>
      <c r="G142" s="11">
        <v>23285700</v>
      </c>
      <c r="H142" s="3">
        <f>(INTC[[#This Row],[Close]]-E141)/E141</f>
        <v>-1.0206251545954677E-2</v>
      </c>
    </row>
    <row r="143" spans="1:8" x14ac:dyDescent="0.25">
      <c r="A143" s="8">
        <v>43383</v>
      </c>
      <c r="B143" s="4">
        <v>46.060001</v>
      </c>
      <c r="C143" s="4">
        <v>46.119999</v>
      </c>
      <c r="D143" s="4">
        <v>44.799999</v>
      </c>
      <c r="E143" s="4">
        <v>44.799999</v>
      </c>
      <c r="F143" s="4">
        <v>44.239407</v>
      </c>
      <c r="G143" s="11">
        <v>43109500</v>
      </c>
      <c r="H143" s="3">
        <f>(INTC[[#This Row],[Close]]-E142)/E142</f>
        <v>-3.7593985770010434E-2</v>
      </c>
    </row>
    <row r="144" spans="1:8" x14ac:dyDescent="0.25">
      <c r="A144" s="8">
        <v>43384</v>
      </c>
      <c r="B144" s="4">
        <v>45.150002000000001</v>
      </c>
      <c r="C144" s="4">
        <v>45.610000999999997</v>
      </c>
      <c r="D144" s="4">
        <v>43.73</v>
      </c>
      <c r="E144" s="4">
        <v>44.23</v>
      </c>
      <c r="F144" s="4">
        <v>43.676537000000003</v>
      </c>
      <c r="G144" s="11">
        <v>43648800</v>
      </c>
      <c r="H144" s="3">
        <f>(INTC[[#This Row],[Close]]-E143)/E143</f>
        <v>-1.2723192248285603E-2</v>
      </c>
    </row>
    <row r="145" spans="1:8" x14ac:dyDescent="0.25">
      <c r="A145" s="8">
        <v>43385</v>
      </c>
      <c r="B145" s="4">
        <v>45.27</v>
      </c>
      <c r="C145" s="4">
        <v>45.34</v>
      </c>
      <c r="D145" s="4">
        <v>44.23</v>
      </c>
      <c r="E145" s="4">
        <v>44.880001</v>
      </c>
      <c r="F145" s="4">
        <v>44.318409000000003</v>
      </c>
      <c r="G145" s="11">
        <v>32087400</v>
      </c>
      <c r="H145" s="3">
        <f>(INTC[[#This Row],[Close]]-E144)/E144</f>
        <v>1.4695930364006403E-2</v>
      </c>
    </row>
    <row r="146" spans="1:8" x14ac:dyDescent="0.25">
      <c r="A146" s="8">
        <v>43388</v>
      </c>
      <c r="B146" s="4">
        <v>44.630001</v>
      </c>
      <c r="C146" s="4">
        <v>45.139999000000003</v>
      </c>
      <c r="D146" s="4">
        <v>44.439999</v>
      </c>
      <c r="E146" s="4">
        <v>44.529998999999997</v>
      </c>
      <c r="F146" s="4">
        <v>43.972785999999999</v>
      </c>
      <c r="G146" s="11">
        <v>21633000</v>
      </c>
      <c r="H146" s="3">
        <f>(INTC[[#This Row],[Close]]-E145)/E145</f>
        <v>-7.7986183645584921E-3</v>
      </c>
    </row>
    <row r="147" spans="1:8" x14ac:dyDescent="0.25">
      <c r="A147" s="8">
        <v>43389</v>
      </c>
      <c r="B147" s="4">
        <v>44.900002000000001</v>
      </c>
      <c r="C147" s="4">
        <v>46.009998000000003</v>
      </c>
      <c r="D147" s="4">
        <v>44.830002</v>
      </c>
      <c r="E147" s="4">
        <v>45.939999</v>
      </c>
      <c r="F147" s="4">
        <v>45.365143000000003</v>
      </c>
      <c r="G147" s="11">
        <v>21472000</v>
      </c>
      <c r="H147" s="3">
        <f>(INTC[[#This Row],[Close]]-E146)/E146</f>
        <v>3.1664047421155431E-2</v>
      </c>
    </row>
    <row r="148" spans="1:8" x14ac:dyDescent="0.25">
      <c r="A148" s="8">
        <v>43390</v>
      </c>
      <c r="B148" s="4">
        <v>46</v>
      </c>
      <c r="C148" s="4">
        <v>46.330002</v>
      </c>
      <c r="D148" s="4">
        <v>45.540000999999997</v>
      </c>
      <c r="E148" s="4">
        <v>45.889999000000003</v>
      </c>
      <c r="F148" s="4">
        <v>45.315769000000003</v>
      </c>
      <c r="G148" s="11">
        <v>23124400</v>
      </c>
      <c r="H148" s="3">
        <f>(INTC[[#This Row],[Close]]-E147)/E147</f>
        <v>-1.0883761664861411E-3</v>
      </c>
    </row>
    <row r="149" spans="1:8" x14ac:dyDescent="0.25">
      <c r="A149" s="8">
        <v>43391</v>
      </c>
      <c r="B149" s="4">
        <v>45.650002000000001</v>
      </c>
      <c r="C149" s="4">
        <v>45.75</v>
      </c>
      <c r="D149" s="4">
        <v>44.830002</v>
      </c>
      <c r="E149" s="4">
        <v>44.970001000000003</v>
      </c>
      <c r="F149" s="4">
        <v>44.40728</v>
      </c>
      <c r="G149" s="11">
        <v>26638800</v>
      </c>
      <c r="H149" s="3">
        <f>(INTC[[#This Row],[Close]]-E148)/E148</f>
        <v>-2.0047897582216107E-2</v>
      </c>
    </row>
    <row r="150" spans="1:8" x14ac:dyDescent="0.25">
      <c r="A150" s="8">
        <v>43392</v>
      </c>
      <c r="B150" s="4">
        <v>45.02</v>
      </c>
      <c r="C150" s="4">
        <v>45.18</v>
      </c>
      <c r="D150" s="4">
        <v>43.860000999999997</v>
      </c>
      <c r="E150" s="4">
        <v>44</v>
      </c>
      <c r="F150" s="4">
        <v>43.449416999999997</v>
      </c>
      <c r="G150" s="11">
        <v>28368500</v>
      </c>
      <c r="H150" s="3">
        <f>(INTC[[#This Row],[Close]]-E149)/E149</f>
        <v>-2.1569957269958775E-2</v>
      </c>
    </row>
    <row r="151" spans="1:8" x14ac:dyDescent="0.25">
      <c r="A151" s="8">
        <v>43395</v>
      </c>
      <c r="B151" s="4">
        <v>44.5</v>
      </c>
      <c r="C151" s="4">
        <v>45.34</v>
      </c>
      <c r="D151" s="4">
        <v>44.099997999999999</v>
      </c>
      <c r="E151" s="4">
        <v>45.009998000000003</v>
      </c>
      <c r="F151" s="4">
        <v>44.446781000000001</v>
      </c>
      <c r="G151" s="11">
        <v>34508800</v>
      </c>
      <c r="H151" s="3">
        <f>(INTC[[#This Row],[Close]]-E150)/E150</f>
        <v>2.2954500000000069E-2</v>
      </c>
    </row>
    <row r="152" spans="1:8" x14ac:dyDescent="0.25">
      <c r="A152" s="8">
        <v>43396</v>
      </c>
      <c r="B152" s="4">
        <v>44.18</v>
      </c>
      <c r="C152" s="4">
        <v>45.09</v>
      </c>
      <c r="D152" s="4">
        <v>43.91</v>
      </c>
      <c r="E152" s="4">
        <v>44.5</v>
      </c>
      <c r="F152" s="4">
        <v>43.943161000000003</v>
      </c>
      <c r="G152" s="11">
        <v>38590300</v>
      </c>
      <c r="H152" s="3">
        <f>(INTC[[#This Row],[Close]]-E151)/E151</f>
        <v>-1.1330771443269183E-2</v>
      </c>
    </row>
    <row r="153" spans="1:8" x14ac:dyDescent="0.25">
      <c r="A153" s="8">
        <v>43397</v>
      </c>
      <c r="B153" s="4">
        <v>44.16</v>
      </c>
      <c r="C153" s="4">
        <v>44.360000999999997</v>
      </c>
      <c r="D153" s="4">
        <v>42.360000999999997</v>
      </c>
      <c r="E153" s="4">
        <v>42.419998</v>
      </c>
      <c r="F153" s="4">
        <v>41.889187</v>
      </c>
      <c r="G153" s="11">
        <v>33631800</v>
      </c>
      <c r="H153" s="3">
        <f>(INTC[[#This Row],[Close]]-E152)/E152</f>
        <v>-4.6741617977528099E-2</v>
      </c>
    </row>
    <row r="154" spans="1:8" x14ac:dyDescent="0.25">
      <c r="A154" s="8">
        <v>43398</v>
      </c>
      <c r="B154" s="4">
        <v>43.540000999999997</v>
      </c>
      <c r="C154" s="4">
        <v>44.939999</v>
      </c>
      <c r="D154" s="4">
        <v>43.279998999999997</v>
      </c>
      <c r="E154" s="4">
        <v>44.310001</v>
      </c>
      <c r="F154" s="4">
        <v>43.755538999999999</v>
      </c>
      <c r="G154" s="11">
        <v>48255300</v>
      </c>
      <c r="H154" s="3">
        <f>(INTC[[#This Row],[Close]]-E153)/E153</f>
        <v>4.4554528267540229E-2</v>
      </c>
    </row>
    <row r="155" spans="1:8" x14ac:dyDescent="0.25">
      <c r="A155" s="8">
        <v>43399</v>
      </c>
      <c r="B155" s="4">
        <v>45.59</v>
      </c>
      <c r="C155" s="4">
        <v>46.439999</v>
      </c>
      <c r="D155" s="4">
        <v>44.700001</v>
      </c>
      <c r="E155" s="4">
        <v>45.689999</v>
      </c>
      <c r="F155" s="4">
        <v>45.118271</v>
      </c>
      <c r="G155" s="11">
        <v>67280400</v>
      </c>
      <c r="H155" s="3">
        <f>(INTC[[#This Row],[Close]]-E154)/E154</f>
        <v>3.114416539959005E-2</v>
      </c>
    </row>
    <row r="156" spans="1:8" x14ac:dyDescent="0.25">
      <c r="A156" s="8">
        <v>43402</v>
      </c>
      <c r="B156" s="4">
        <v>46.5</v>
      </c>
      <c r="C156" s="4">
        <v>46.75</v>
      </c>
      <c r="D156" s="4">
        <v>44.439999</v>
      </c>
      <c r="E156" s="4">
        <v>45.400002000000001</v>
      </c>
      <c r="F156" s="4">
        <v>44.831901999999999</v>
      </c>
      <c r="G156" s="11">
        <v>35732200</v>
      </c>
      <c r="H156" s="3">
        <f>(INTC[[#This Row],[Close]]-E155)/E155</f>
        <v>-6.3470563875477346E-3</v>
      </c>
    </row>
    <row r="157" spans="1:8" x14ac:dyDescent="0.25">
      <c r="A157" s="8">
        <v>43403</v>
      </c>
      <c r="B157" s="4">
        <v>45.529998999999997</v>
      </c>
      <c r="C157" s="4">
        <v>47.880001</v>
      </c>
      <c r="D157" s="4">
        <v>45.459999000000003</v>
      </c>
      <c r="E157" s="4">
        <v>47.759998000000003</v>
      </c>
      <c r="F157" s="4">
        <v>47.162365000000001</v>
      </c>
      <c r="G157" s="11">
        <v>43975200</v>
      </c>
      <c r="H157" s="3">
        <f>(INTC[[#This Row],[Close]]-E156)/E156</f>
        <v>5.1982288458930076E-2</v>
      </c>
    </row>
    <row r="158" spans="1:8" x14ac:dyDescent="0.25">
      <c r="A158" s="8">
        <v>43404</v>
      </c>
      <c r="B158" s="4">
        <v>48.290000999999997</v>
      </c>
      <c r="C158" s="4">
        <v>48.560001</v>
      </c>
      <c r="D158" s="4">
        <v>46.830002</v>
      </c>
      <c r="E158" s="4">
        <v>46.880001</v>
      </c>
      <c r="F158" s="4">
        <v>46.293380999999997</v>
      </c>
      <c r="G158" s="11">
        <v>33369100</v>
      </c>
      <c r="H158" s="3">
        <f>(INTC[[#This Row],[Close]]-E157)/E157</f>
        <v>-1.8425398594028478E-2</v>
      </c>
    </row>
    <row r="159" spans="1:8" x14ac:dyDescent="0.25">
      <c r="A159" s="8">
        <v>43405</v>
      </c>
      <c r="B159" s="4">
        <v>46.950001</v>
      </c>
      <c r="C159" s="4">
        <v>48.470001000000003</v>
      </c>
      <c r="D159" s="4">
        <v>46.860000999999997</v>
      </c>
      <c r="E159" s="4">
        <v>48.220001000000003</v>
      </c>
      <c r="F159" s="4">
        <v>47.616610999999999</v>
      </c>
      <c r="G159" s="11">
        <v>28335300</v>
      </c>
      <c r="H159" s="3">
        <f>(INTC[[#This Row],[Close]]-E158)/E158</f>
        <v>2.8583617137721552E-2</v>
      </c>
    </row>
    <row r="160" spans="1:8" x14ac:dyDescent="0.25">
      <c r="A160" s="8">
        <v>43406</v>
      </c>
      <c r="B160" s="4">
        <v>48.130001</v>
      </c>
      <c r="C160" s="4">
        <v>48.25</v>
      </c>
      <c r="D160" s="4">
        <v>46.75</v>
      </c>
      <c r="E160" s="4">
        <v>47.110000999999997</v>
      </c>
      <c r="F160" s="4">
        <v>46.520504000000003</v>
      </c>
      <c r="G160" s="11">
        <v>30759800</v>
      </c>
      <c r="H160" s="3">
        <f>(INTC[[#This Row],[Close]]-E159)/E159</f>
        <v>-2.3019493508513334E-2</v>
      </c>
    </row>
    <row r="161" spans="1:8" x14ac:dyDescent="0.25">
      <c r="A161" s="8">
        <v>43409</v>
      </c>
      <c r="B161" s="4">
        <v>47.34</v>
      </c>
      <c r="C161" s="4">
        <v>48.25</v>
      </c>
      <c r="D161" s="4">
        <v>46.919998</v>
      </c>
      <c r="E161" s="4">
        <v>47.970001000000003</v>
      </c>
      <c r="F161" s="4">
        <v>47.369743</v>
      </c>
      <c r="G161" s="11">
        <v>23751200</v>
      </c>
      <c r="H161" s="3">
        <f>(INTC[[#This Row],[Close]]-E160)/E160</f>
        <v>1.8255147139563988E-2</v>
      </c>
    </row>
    <row r="162" spans="1:8" x14ac:dyDescent="0.25">
      <c r="A162" s="8">
        <v>43410</v>
      </c>
      <c r="B162" s="4">
        <v>47.799999</v>
      </c>
      <c r="C162" s="4">
        <v>47.919998</v>
      </c>
      <c r="D162" s="4">
        <v>47.029998999999997</v>
      </c>
      <c r="E162" s="4">
        <v>47.25</v>
      </c>
      <c r="F162" s="4">
        <v>46.952385</v>
      </c>
      <c r="G162" s="11">
        <v>23839600</v>
      </c>
      <c r="H162" s="3">
        <f>(INTC[[#This Row],[Close]]-E161)/E161</f>
        <v>-1.5009401396510361E-2</v>
      </c>
    </row>
    <row r="163" spans="1:8" x14ac:dyDescent="0.25">
      <c r="A163" s="8">
        <v>43411</v>
      </c>
      <c r="B163" s="4">
        <v>47.630001</v>
      </c>
      <c r="C163" s="4">
        <v>48.75</v>
      </c>
      <c r="D163" s="4">
        <v>47.59</v>
      </c>
      <c r="E163" s="4">
        <v>48.720001000000003</v>
      </c>
      <c r="F163" s="4">
        <v>48.413128</v>
      </c>
      <c r="G163" s="11">
        <v>29913200</v>
      </c>
      <c r="H163" s="3">
        <f>(INTC[[#This Row],[Close]]-E162)/E162</f>
        <v>3.1111132275132347E-2</v>
      </c>
    </row>
    <row r="164" spans="1:8" x14ac:dyDescent="0.25">
      <c r="A164" s="8">
        <v>43412</v>
      </c>
      <c r="B164" s="4">
        <v>48.490001999999997</v>
      </c>
      <c r="C164" s="4">
        <v>49.290000999999997</v>
      </c>
      <c r="D164" s="4">
        <v>48.459999000000003</v>
      </c>
      <c r="E164" s="4">
        <v>48.990001999999997</v>
      </c>
      <c r="F164" s="4">
        <v>48.681426999999999</v>
      </c>
      <c r="G164" s="11">
        <v>26581700</v>
      </c>
      <c r="H164" s="3">
        <f>(INTC[[#This Row],[Close]]-E163)/E163</f>
        <v>5.5418923328838495E-3</v>
      </c>
    </row>
    <row r="165" spans="1:8" x14ac:dyDescent="0.25">
      <c r="A165" s="8">
        <v>43413</v>
      </c>
      <c r="B165" s="4">
        <v>48.790000999999997</v>
      </c>
      <c r="C165" s="4">
        <v>49.029998999999997</v>
      </c>
      <c r="D165" s="4">
        <v>47.869999</v>
      </c>
      <c r="E165" s="4">
        <v>48.110000999999997</v>
      </c>
      <c r="F165" s="4">
        <v>47.806969000000002</v>
      </c>
      <c r="G165" s="11">
        <v>21761400</v>
      </c>
      <c r="H165" s="3">
        <f>(INTC[[#This Row],[Close]]-E164)/E164</f>
        <v>-1.796286924013598E-2</v>
      </c>
    </row>
    <row r="166" spans="1:8" x14ac:dyDescent="0.25">
      <c r="A166" s="8">
        <v>43416</v>
      </c>
      <c r="B166" s="4">
        <v>47.709999000000003</v>
      </c>
      <c r="C166" s="4">
        <v>47.799999</v>
      </c>
      <c r="D166" s="4">
        <v>46.599997999999999</v>
      </c>
      <c r="E166" s="4">
        <v>46.650002000000001</v>
      </c>
      <c r="F166" s="4">
        <v>46.356166999999999</v>
      </c>
      <c r="G166" s="11">
        <v>24412800</v>
      </c>
      <c r="H166" s="3">
        <f>(INTC[[#This Row],[Close]]-E165)/E165</f>
        <v>-3.0347099764142519E-2</v>
      </c>
    </row>
    <row r="167" spans="1:8" x14ac:dyDescent="0.25">
      <c r="A167" s="8">
        <v>43417</v>
      </c>
      <c r="B167" s="4">
        <v>46.990001999999997</v>
      </c>
      <c r="C167" s="4">
        <v>48.25</v>
      </c>
      <c r="D167" s="4">
        <v>46.990001999999997</v>
      </c>
      <c r="E167" s="4">
        <v>47.389999000000003</v>
      </c>
      <c r="F167" s="4">
        <v>47.091503000000003</v>
      </c>
      <c r="G167" s="11">
        <v>29315900</v>
      </c>
      <c r="H167" s="3">
        <f>(INTC[[#This Row],[Close]]-E166)/E166</f>
        <v>1.5862743157009994E-2</v>
      </c>
    </row>
    <row r="168" spans="1:8" x14ac:dyDescent="0.25">
      <c r="A168" s="8">
        <v>43418</v>
      </c>
      <c r="B168" s="4">
        <v>47.849997999999999</v>
      </c>
      <c r="C168" s="4">
        <v>47.970001000000003</v>
      </c>
      <c r="D168" s="4">
        <v>46.889999000000003</v>
      </c>
      <c r="E168" s="4">
        <v>47.09</v>
      </c>
      <c r="F168" s="4">
        <v>46.793391999999997</v>
      </c>
      <c r="G168" s="11">
        <v>25632700</v>
      </c>
      <c r="H168" s="3">
        <f>(INTC[[#This Row],[Close]]-E167)/E167</f>
        <v>-6.3304284939951078E-3</v>
      </c>
    </row>
    <row r="169" spans="1:8" x14ac:dyDescent="0.25">
      <c r="A169" s="8">
        <v>43419</v>
      </c>
      <c r="B169" s="4">
        <v>47.009998000000003</v>
      </c>
      <c r="C169" s="4">
        <v>48.240001999999997</v>
      </c>
      <c r="D169" s="4">
        <v>46.720001000000003</v>
      </c>
      <c r="E169" s="4">
        <v>48.110000999999997</v>
      </c>
      <c r="F169" s="4">
        <v>47.806969000000002</v>
      </c>
      <c r="G169" s="11">
        <v>29581000</v>
      </c>
      <c r="H169" s="3">
        <f>(INTC[[#This Row],[Close]]-E168)/E168</f>
        <v>2.1660671055425639E-2</v>
      </c>
    </row>
    <row r="170" spans="1:8" x14ac:dyDescent="0.25">
      <c r="A170" s="8">
        <v>43420</v>
      </c>
      <c r="B170" s="4">
        <v>47.77</v>
      </c>
      <c r="C170" s="4">
        <v>49.049999</v>
      </c>
      <c r="D170" s="4">
        <v>47.689999</v>
      </c>
      <c r="E170" s="4">
        <v>48.830002</v>
      </c>
      <c r="F170" s="4">
        <v>48.522433999999997</v>
      </c>
      <c r="G170" s="11">
        <v>31670600</v>
      </c>
      <c r="H170" s="3">
        <f>(INTC[[#This Row],[Close]]-E169)/E169</f>
        <v>1.4965724070552472E-2</v>
      </c>
    </row>
    <row r="171" spans="1:8" x14ac:dyDescent="0.25">
      <c r="A171" s="8">
        <v>43423</v>
      </c>
      <c r="B171" s="4">
        <v>48.610000999999997</v>
      </c>
      <c r="C171" s="4">
        <v>49.150002000000001</v>
      </c>
      <c r="D171" s="4">
        <v>47.779998999999997</v>
      </c>
      <c r="E171" s="4">
        <v>48</v>
      </c>
      <c r="F171" s="4">
        <v>47.697662000000001</v>
      </c>
      <c r="G171" s="11">
        <v>26859000</v>
      </c>
      <c r="H171" s="3">
        <f>(INTC[[#This Row],[Close]]-E170)/E170</f>
        <v>-1.6997787548728757E-2</v>
      </c>
    </row>
    <row r="172" spans="1:8" x14ac:dyDescent="0.25">
      <c r="A172" s="8">
        <v>43424</v>
      </c>
      <c r="B172" s="4">
        <v>47.400002000000001</v>
      </c>
      <c r="C172" s="4">
        <v>48.119999</v>
      </c>
      <c r="D172" s="4">
        <v>47.09</v>
      </c>
      <c r="E172" s="4">
        <v>47.389999000000003</v>
      </c>
      <c r="F172" s="4">
        <v>47.091503000000003</v>
      </c>
      <c r="G172" s="11">
        <v>29200800</v>
      </c>
      <c r="H172" s="3">
        <f>(INTC[[#This Row],[Close]]-E171)/E171</f>
        <v>-1.2708354166666602E-2</v>
      </c>
    </row>
    <row r="173" spans="1:8" x14ac:dyDescent="0.25">
      <c r="A173" s="8">
        <v>43425</v>
      </c>
      <c r="B173" s="4">
        <v>47.849997999999999</v>
      </c>
      <c r="C173" s="4">
        <v>47.880001</v>
      </c>
      <c r="D173" s="4">
        <v>47.02</v>
      </c>
      <c r="E173" s="4">
        <v>47.029998999999997</v>
      </c>
      <c r="F173" s="4">
        <v>46.733767999999998</v>
      </c>
      <c r="G173" s="11">
        <v>19011400</v>
      </c>
      <c r="H173" s="3">
        <f>(INTC[[#This Row],[Close]]-E172)/E172</f>
        <v>-7.5965395145926569E-3</v>
      </c>
    </row>
    <row r="174" spans="1:8" x14ac:dyDescent="0.25">
      <c r="A174" s="8">
        <v>43427</v>
      </c>
      <c r="B174" s="4">
        <v>46.689999</v>
      </c>
      <c r="C174" s="4">
        <v>47.07</v>
      </c>
      <c r="D174" s="4">
        <v>46.52</v>
      </c>
      <c r="E174" s="4">
        <v>46.540000999999997</v>
      </c>
      <c r="F174" s="4">
        <v>46.246856999999999</v>
      </c>
      <c r="G174" s="11">
        <v>8906900</v>
      </c>
      <c r="H174" s="3">
        <f>(INTC[[#This Row],[Close]]-E173)/E173</f>
        <v>-1.0418839260447357E-2</v>
      </c>
    </row>
    <row r="175" spans="1:8" x14ac:dyDescent="0.25">
      <c r="A175" s="8">
        <v>43430</v>
      </c>
      <c r="B175" s="4">
        <v>47.27</v>
      </c>
      <c r="C175" s="4">
        <v>47.459999000000003</v>
      </c>
      <c r="D175" s="4">
        <v>46.700001</v>
      </c>
      <c r="E175" s="4">
        <v>47.450001</v>
      </c>
      <c r="F175" s="4">
        <v>47.151127000000002</v>
      </c>
      <c r="G175" s="11">
        <v>20723000</v>
      </c>
      <c r="H175" s="3">
        <f>(INTC[[#This Row],[Close]]-E174)/E174</f>
        <v>1.9553072205563633E-2</v>
      </c>
    </row>
    <row r="176" spans="1:8" x14ac:dyDescent="0.25">
      <c r="A176" s="8">
        <v>43431</v>
      </c>
      <c r="B176" s="4">
        <v>46.939999</v>
      </c>
      <c r="C176" s="4">
        <v>48.220001000000003</v>
      </c>
      <c r="D176" s="4">
        <v>46.59</v>
      </c>
      <c r="E176" s="4">
        <v>48.07</v>
      </c>
      <c r="F176" s="4">
        <v>47.767220000000002</v>
      </c>
      <c r="G176" s="11">
        <v>27621000</v>
      </c>
      <c r="H176" s="3">
        <f>(INTC[[#This Row],[Close]]-E175)/E175</f>
        <v>1.3066364318938581E-2</v>
      </c>
    </row>
    <row r="177" spans="1:8" x14ac:dyDescent="0.25">
      <c r="A177" s="8">
        <v>43432</v>
      </c>
      <c r="B177" s="4">
        <v>47.939999</v>
      </c>
      <c r="C177" s="4">
        <v>48.880001</v>
      </c>
      <c r="D177" s="4">
        <v>47.650002000000001</v>
      </c>
      <c r="E177" s="4">
        <v>48.860000999999997</v>
      </c>
      <c r="F177" s="4">
        <v>48.552245999999997</v>
      </c>
      <c r="G177" s="11">
        <v>28003200</v>
      </c>
      <c r="H177" s="3">
        <f>(INTC[[#This Row],[Close]]-E176)/E176</f>
        <v>1.6434387351778587E-2</v>
      </c>
    </row>
    <row r="178" spans="1:8" x14ac:dyDescent="0.25">
      <c r="A178" s="8">
        <v>43433</v>
      </c>
      <c r="B178" s="4">
        <v>48.490001999999997</v>
      </c>
      <c r="C178" s="4">
        <v>48.560001</v>
      </c>
      <c r="D178" s="4">
        <v>47.630001</v>
      </c>
      <c r="E178" s="4">
        <v>47.700001</v>
      </c>
      <c r="F178" s="4">
        <v>47.399551000000002</v>
      </c>
      <c r="G178" s="11">
        <v>23592500</v>
      </c>
      <c r="H178" s="3">
        <f>(INTC[[#This Row],[Close]]-E177)/E177</f>
        <v>-2.3741301192359711E-2</v>
      </c>
    </row>
    <row r="179" spans="1:8" x14ac:dyDescent="0.25">
      <c r="A179" s="8">
        <v>43434</v>
      </c>
      <c r="B179" s="4">
        <v>47.950001</v>
      </c>
      <c r="C179" s="4">
        <v>49.32</v>
      </c>
      <c r="D179" s="4">
        <v>47.560001</v>
      </c>
      <c r="E179" s="4">
        <v>49.310001</v>
      </c>
      <c r="F179" s="4">
        <v>48.999412999999997</v>
      </c>
      <c r="G179" s="11">
        <v>43313700</v>
      </c>
      <c r="H179" s="3">
        <f>(INTC[[#This Row],[Close]]-E178)/E178</f>
        <v>3.375261983747127E-2</v>
      </c>
    </row>
    <row r="180" spans="1:8" x14ac:dyDescent="0.25">
      <c r="A180" s="8">
        <v>43437</v>
      </c>
      <c r="B180" s="4">
        <v>50</v>
      </c>
      <c r="C180" s="4">
        <v>50.5</v>
      </c>
      <c r="D180" s="4">
        <v>49.529998999999997</v>
      </c>
      <c r="E180" s="4">
        <v>50.130001</v>
      </c>
      <c r="F180" s="4">
        <v>49.814247000000002</v>
      </c>
      <c r="G180" s="11">
        <v>30870400</v>
      </c>
      <c r="H180" s="3">
        <f>(INTC[[#This Row],[Close]]-E179)/E179</f>
        <v>1.6629486582245258E-2</v>
      </c>
    </row>
    <row r="181" spans="1:8" x14ac:dyDescent="0.25">
      <c r="A181" s="8">
        <v>43438</v>
      </c>
      <c r="B181" s="4">
        <v>49.52</v>
      </c>
      <c r="C181" s="4">
        <v>49.599997999999999</v>
      </c>
      <c r="D181" s="4">
        <v>47.68</v>
      </c>
      <c r="E181" s="4">
        <v>47.75</v>
      </c>
      <c r="F181" s="4">
        <v>47.449238000000001</v>
      </c>
      <c r="G181" s="11">
        <v>35397700</v>
      </c>
      <c r="H181" s="3">
        <f>(INTC[[#This Row],[Close]]-E180)/E180</f>
        <v>-4.7476579942617593E-2</v>
      </c>
    </row>
    <row r="182" spans="1:8" x14ac:dyDescent="0.25">
      <c r="A182" s="8">
        <v>43440</v>
      </c>
      <c r="B182" s="4">
        <v>46.799999</v>
      </c>
      <c r="C182" s="4">
        <v>48.389999000000003</v>
      </c>
      <c r="D182" s="4">
        <v>46.52</v>
      </c>
      <c r="E182" s="4">
        <v>48.369999</v>
      </c>
      <c r="F182" s="4">
        <v>48.065331</v>
      </c>
      <c r="G182" s="11">
        <v>31661700</v>
      </c>
      <c r="H182" s="3">
        <f>(INTC[[#This Row],[Close]]-E181)/E181</f>
        <v>1.2984272251308901E-2</v>
      </c>
    </row>
    <row r="183" spans="1:8" x14ac:dyDescent="0.25">
      <c r="A183" s="8">
        <v>43441</v>
      </c>
      <c r="B183" s="4">
        <v>47.939999</v>
      </c>
      <c r="C183" s="4">
        <v>48.060001</v>
      </c>
      <c r="D183" s="4">
        <v>46.23</v>
      </c>
      <c r="E183" s="4">
        <v>46.240001999999997</v>
      </c>
      <c r="F183" s="4">
        <v>45.948749999999997</v>
      </c>
      <c r="G183" s="11">
        <v>34016400</v>
      </c>
      <c r="H183" s="3">
        <f>(INTC[[#This Row],[Close]]-E182)/E182</f>
        <v>-4.4035498119402543E-2</v>
      </c>
    </row>
    <row r="184" spans="1:8" x14ac:dyDescent="0.25">
      <c r="A184" s="8">
        <v>43444</v>
      </c>
      <c r="B184" s="4">
        <v>46.279998999999997</v>
      </c>
      <c r="C184" s="4">
        <v>47.459999000000003</v>
      </c>
      <c r="D184" s="4">
        <v>46.009998000000003</v>
      </c>
      <c r="E184" s="4">
        <v>47.209999000000003</v>
      </c>
      <c r="F184" s="4">
        <v>46.912635999999999</v>
      </c>
      <c r="G184" s="11">
        <v>23289000</v>
      </c>
      <c r="H184" s="3">
        <f>(INTC[[#This Row],[Close]]-E183)/E183</f>
        <v>2.0977442864297594E-2</v>
      </c>
    </row>
    <row r="185" spans="1:8" x14ac:dyDescent="0.25">
      <c r="A185" s="8">
        <v>43445</v>
      </c>
      <c r="B185" s="4">
        <v>47.900002000000001</v>
      </c>
      <c r="C185" s="4">
        <v>48.59</v>
      </c>
      <c r="D185" s="4">
        <v>47.130001</v>
      </c>
      <c r="E185" s="4">
        <v>47.380001</v>
      </c>
      <c r="F185" s="4">
        <v>47.081566000000002</v>
      </c>
      <c r="G185" s="11">
        <v>23851000</v>
      </c>
      <c r="H185" s="3">
        <f>(INTC[[#This Row],[Close]]-E184)/E184</f>
        <v>3.6009744461124992E-3</v>
      </c>
    </row>
    <row r="186" spans="1:8" x14ac:dyDescent="0.25">
      <c r="A186" s="8">
        <v>43446</v>
      </c>
      <c r="B186" s="4">
        <v>48.580002</v>
      </c>
      <c r="C186" s="4">
        <v>48.639999000000003</v>
      </c>
      <c r="D186" s="4">
        <v>47.41</v>
      </c>
      <c r="E186" s="4">
        <v>47.830002</v>
      </c>
      <c r="F186" s="4">
        <v>47.528731999999998</v>
      </c>
      <c r="G186" s="11">
        <v>31305000</v>
      </c>
      <c r="H186" s="3">
        <f>(INTC[[#This Row],[Close]]-E185)/E185</f>
        <v>9.4976992507872747E-3</v>
      </c>
    </row>
    <row r="187" spans="1:8" x14ac:dyDescent="0.25">
      <c r="A187" s="8">
        <v>43447</v>
      </c>
      <c r="B187" s="4">
        <v>48.259998000000003</v>
      </c>
      <c r="C187" s="4">
        <v>48.580002</v>
      </c>
      <c r="D187" s="4">
        <v>47.860000999999997</v>
      </c>
      <c r="E187" s="4">
        <v>48.290000999999997</v>
      </c>
      <c r="F187" s="4">
        <v>47.985835999999999</v>
      </c>
      <c r="G187" s="11">
        <v>19526000</v>
      </c>
      <c r="H187" s="3">
        <f>(INTC[[#This Row],[Close]]-E186)/E186</f>
        <v>9.6173736308854067E-3</v>
      </c>
    </row>
    <row r="188" spans="1:8" x14ac:dyDescent="0.25">
      <c r="A188" s="8">
        <v>43448</v>
      </c>
      <c r="B188" s="4">
        <v>47.889999000000003</v>
      </c>
      <c r="C188" s="4">
        <v>48.759998000000003</v>
      </c>
      <c r="D188" s="4">
        <v>47.849997999999999</v>
      </c>
      <c r="E188" s="4">
        <v>47.860000999999997</v>
      </c>
      <c r="F188" s="4">
        <v>47.558543999999998</v>
      </c>
      <c r="G188" s="11">
        <v>26372100</v>
      </c>
      <c r="H188" s="3">
        <f>(INTC[[#This Row],[Close]]-E187)/E187</f>
        <v>-8.9045349160377894E-3</v>
      </c>
    </row>
    <row r="189" spans="1:8" x14ac:dyDescent="0.25">
      <c r="A189" s="8">
        <v>43451</v>
      </c>
      <c r="B189" s="4">
        <v>47.860000999999997</v>
      </c>
      <c r="C189" s="4">
        <v>48.41</v>
      </c>
      <c r="D189" s="4">
        <v>46.66</v>
      </c>
      <c r="E189" s="4">
        <v>47.080002</v>
      </c>
      <c r="F189" s="4">
        <v>46.783459000000001</v>
      </c>
      <c r="G189" s="11">
        <v>26598700</v>
      </c>
      <c r="H189" s="3">
        <f>(INTC[[#This Row],[Close]]-E188)/E188</f>
        <v>-1.6297513240753937E-2</v>
      </c>
    </row>
    <row r="190" spans="1:8" x14ac:dyDescent="0.25">
      <c r="A190" s="8">
        <v>43452</v>
      </c>
      <c r="B190" s="4">
        <v>47.470001000000003</v>
      </c>
      <c r="C190" s="4">
        <v>48.450001</v>
      </c>
      <c r="D190" s="4">
        <v>47.360000999999997</v>
      </c>
      <c r="E190" s="4">
        <v>47.740001999999997</v>
      </c>
      <c r="F190" s="4">
        <v>47.439301</v>
      </c>
      <c r="G190" s="11">
        <v>29014300</v>
      </c>
      <c r="H190" s="3">
        <f>(INTC[[#This Row],[Close]]-E189)/E189</f>
        <v>1.4018690993258594E-2</v>
      </c>
    </row>
    <row r="191" spans="1:8" x14ac:dyDescent="0.25">
      <c r="A191" s="8">
        <v>43453</v>
      </c>
      <c r="B191" s="4">
        <v>47.490001999999997</v>
      </c>
      <c r="C191" s="4">
        <v>47.73</v>
      </c>
      <c r="D191" s="4">
        <v>45.380001</v>
      </c>
      <c r="E191" s="4">
        <v>45.57</v>
      </c>
      <c r="F191" s="4">
        <v>45.282966999999999</v>
      </c>
      <c r="G191" s="11">
        <v>39717600</v>
      </c>
      <c r="H191" s="3">
        <f>(INTC[[#This Row],[Close]]-E190)/E190</f>
        <v>-4.545458544387989E-2</v>
      </c>
    </row>
    <row r="192" spans="1:8" x14ac:dyDescent="0.25">
      <c r="A192" s="8">
        <v>43454</v>
      </c>
      <c r="B192" s="4">
        <v>45.41</v>
      </c>
      <c r="C192" s="4">
        <v>46.310001</v>
      </c>
      <c r="D192" s="4">
        <v>45.009998000000003</v>
      </c>
      <c r="E192" s="4">
        <v>45.540000999999997</v>
      </c>
      <c r="F192" s="4">
        <v>45.253158999999997</v>
      </c>
      <c r="G192" s="11">
        <v>37750900</v>
      </c>
      <c r="H192" s="3">
        <f>(INTC[[#This Row],[Close]]-E191)/E191</f>
        <v>-6.5830590300644423E-4</v>
      </c>
    </row>
    <row r="193" spans="1:8" x14ac:dyDescent="0.25">
      <c r="A193" s="8">
        <v>43455</v>
      </c>
      <c r="B193" s="4">
        <v>45.75</v>
      </c>
      <c r="C193" s="4">
        <v>46.650002000000001</v>
      </c>
      <c r="D193" s="4">
        <v>44.799999</v>
      </c>
      <c r="E193" s="4">
        <v>44.84</v>
      </c>
      <c r="F193" s="4">
        <v>44.557563999999999</v>
      </c>
      <c r="G193" s="11">
        <v>52768300</v>
      </c>
      <c r="H193" s="3">
        <f>(INTC[[#This Row],[Close]]-E192)/E192</f>
        <v>-1.537112394881136E-2</v>
      </c>
    </row>
    <row r="194" spans="1:8" x14ac:dyDescent="0.25">
      <c r="A194" s="8">
        <v>43458</v>
      </c>
      <c r="B194" s="4">
        <v>44.630001</v>
      </c>
      <c r="C194" s="4">
        <v>45.169998</v>
      </c>
      <c r="D194" s="4">
        <v>43.540000999999997</v>
      </c>
      <c r="E194" s="4">
        <v>43.59</v>
      </c>
      <c r="F194" s="4">
        <v>43.315437000000003</v>
      </c>
      <c r="G194" s="11">
        <v>19241600</v>
      </c>
      <c r="H194" s="3">
        <f>(INTC[[#This Row],[Close]]-E193)/E193</f>
        <v>-2.7876895628902762E-2</v>
      </c>
    </row>
    <row r="195" spans="1:8" x14ac:dyDescent="0.25">
      <c r="A195" s="8">
        <v>43460</v>
      </c>
      <c r="B195" s="4">
        <v>44</v>
      </c>
      <c r="C195" s="4">
        <v>46.200001</v>
      </c>
      <c r="D195" s="4">
        <v>43.509998000000003</v>
      </c>
      <c r="E195" s="4">
        <v>46.189999</v>
      </c>
      <c r="F195" s="4">
        <v>45.899059000000001</v>
      </c>
      <c r="G195" s="11">
        <v>28677600</v>
      </c>
      <c r="H195" s="3">
        <f>(INTC[[#This Row],[Close]]-E194)/E194</f>
        <v>5.9646685019499809E-2</v>
      </c>
    </row>
    <row r="196" spans="1:8" x14ac:dyDescent="0.25">
      <c r="A196" s="8">
        <v>43461</v>
      </c>
      <c r="B196" s="4">
        <v>45.619999</v>
      </c>
      <c r="C196" s="4">
        <v>46.380001</v>
      </c>
      <c r="D196" s="4">
        <v>44.669998</v>
      </c>
      <c r="E196" s="4">
        <v>46.360000999999997</v>
      </c>
      <c r="F196" s="4">
        <v>46.067993000000001</v>
      </c>
      <c r="G196" s="11">
        <v>29970700</v>
      </c>
      <c r="H196" s="3">
        <f>(INTC[[#This Row],[Close]]-E195)/E195</f>
        <v>3.6804936930177603E-3</v>
      </c>
    </row>
    <row r="197" spans="1:8" x14ac:dyDescent="0.25">
      <c r="A197" s="8">
        <v>43462</v>
      </c>
      <c r="B197" s="4">
        <v>46.509998000000003</v>
      </c>
      <c r="C197" s="4">
        <v>47.740001999999997</v>
      </c>
      <c r="D197" s="4">
        <v>46.299999</v>
      </c>
      <c r="E197" s="4">
        <v>46.75</v>
      </c>
      <c r="F197" s="4">
        <v>46.455536000000002</v>
      </c>
      <c r="G197" s="11">
        <v>24758700</v>
      </c>
      <c r="H197" s="3">
        <f>(INTC[[#This Row],[Close]]-E196)/E196</f>
        <v>8.4124027521052715E-3</v>
      </c>
    </row>
    <row r="198" spans="1:8" x14ac:dyDescent="0.25">
      <c r="A198" s="8">
        <v>43465</v>
      </c>
      <c r="B198" s="4">
        <v>47.09</v>
      </c>
      <c r="C198" s="4">
        <v>47.48</v>
      </c>
      <c r="D198" s="4">
        <v>46.549999</v>
      </c>
      <c r="E198" s="4">
        <v>46.93</v>
      </c>
      <c r="F198" s="4">
        <v>46.634402999999999</v>
      </c>
      <c r="G198" s="11">
        <v>20490400</v>
      </c>
      <c r="H198" s="3">
        <f>(INTC[[#This Row],[Close]]-E197)/E197</f>
        <v>3.8502673796791385E-3</v>
      </c>
    </row>
    <row r="199" spans="1:8" x14ac:dyDescent="0.25">
      <c r="A199" s="8">
        <v>43467</v>
      </c>
      <c r="B199" s="4">
        <v>45.959999000000003</v>
      </c>
      <c r="C199" s="4">
        <v>47.470001000000003</v>
      </c>
      <c r="D199" s="4">
        <v>45.77</v>
      </c>
      <c r="E199" s="4">
        <v>47.080002</v>
      </c>
      <c r="F199" s="4">
        <v>46.783459000000001</v>
      </c>
      <c r="G199" s="11">
        <v>18774600</v>
      </c>
      <c r="H199" s="3">
        <f>(INTC[[#This Row],[Close]]-E198)/E198</f>
        <v>3.1962923503089844E-3</v>
      </c>
    </row>
    <row r="200" spans="1:8" x14ac:dyDescent="0.25">
      <c r="A200" s="8">
        <v>43468</v>
      </c>
      <c r="B200" s="4">
        <v>46.150002000000001</v>
      </c>
      <c r="C200" s="4">
        <v>46.279998999999997</v>
      </c>
      <c r="D200" s="4">
        <v>44.389999000000003</v>
      </c>
      <c r="E200" s="4">
        <v>44.490001999999997</v>
      </c>
      <c r="F200" s="4">
        <v>44.209769999999999</v>
      </c>
      <c r="G200" s="11">
        <v>32267300</v>
      </c>
      <c r="H200" s="3">
        <f>(INTC[[#This Row],[Close]]-E199)/E199</f>
        <v>-5.50127419280909E-2</v>
      </c>
    </row>
    <row r="201" spans="1:8" x14ac:dyDescent="0.25">
      <c r="A201" s="8">
        <v>43469</v>
      </c>
      <c r="B201" s="4">
        <v>45.84</v>
      </c>
      <c r="C201" s="4">
        <v>47.57</v>
      </c>
      <c r="D201" s="4">
        <v>45.540000999999997</v>
      </c>
      <c r="E201" s="4">
        <v>47.220001000000003</v>
      </c>
      <c r="F201" s="4">
        <v>46.922576999999997</v>
      </c>
      <c r="G201" s="11">
        <v>35447300</v>
      </c>
      <c r="H201" s="3">
        <f>(INTC[[#This Row],[Close]]-E200)/E200</f>
        <v>6.1362078608133273E-2</v>
      </c>
    </row>
    <row r="202" spans="1:8" x14ac:dyDescent="0.25">
      <c r="A202" s="8">
        <v>43472</v>
      </c>
      <c r="B202" s="4">
        <v>47.099997999999999</v>
      </c>
      <c r="C202" s="4">
        <v>48</v>
      </c>
      <c r="D202" s="4">
        <v>46.75</v>
      </c>
      <c r="E202" s="4">
        <v>47.439999</v>
      </c>
      <c r="F202" s="4">
        <v>47.141185999999998</v>
      </c>
      <c r="G202" s="11">
        <v>22736800</v>
      </c>
      <c r="H202" s="3">
        <f>(INTC[[#This Row],[Close]]-E201)/E201</f>
        <v>4.6590003248834491E-3</v>
      </c>
    </row>
    <row r="203" spans="1:8" x14ac:dyDescent="0.25">
      <c r="A203" s="8">
        <v>43473</v>
      </c>
      <c r="B203" s="4">
        <v>47.799999</v>
      </c>
      <c r="C203" s="4">
        <v>48.029998999999997</v>
      </c>
      <c r="D203" s="4">
        <v>46.779998999999997</v>
      </c>
      <c r="E203" s="4">
        <v>47.740001999999997</v>
      </c>
      <c r="F203" s="4">
        <v>47.439301</v>
      </c>
      <c r="G203" s="11">
        <v>22749200</v>
      </c>
      <c r="H203" s="3">
        <f>(INTC[[#This Row],[Close]]-E202)/E202</f>
        <v>6.3238407741112446E-3</v>
      </c>
    </row>
    <row r="204" spans="1:8" x14ac:dyDescent="0.25">
      <c r="A204" s="8">
        <v>43474</v>
      </c>
      <c r="B204" s="4">
        <v>47.959999000000003</v>
      </c>
      <c r="C204" s="4">
        <v>48.57</v>
      </c>
      <c r="D204" s="4">
        <v>47.779998999999997</v>
      </c>
      <c r="E204" s="4">
        <v>48.009998000000003</v>
      </c>
      <c r="F204" s="4">
        <v>47.707596000000002</v>
      </c>
      <c r="G204" s="11">
        <v>22554500</v>
      </c>
      <c r="H204" s="3">
        <f>(INTC[[#This Row],[Close]]-E203)/E203</f>
        <v>5.6555506637809977E-3</v>
      </c>
    </row>
    <row r="205" spans="1:8" x14ac:dyDescent="0.25">
      <c r="A205" s="8">
        <v>43475</v>
      </c>
      <c r="B205" s="4">
        <v>47.75</v>
      </c>
      <c r="C205" s="4">
        <v>48.650002000000001</v>
      </c>
      <c r="D205" s="4">
        <v>47.41</v>
      </c>
      <c r="E205" s="4">
        <v>48.560001</v>
      </c>
      <c r="F205" s="4">
        <v>48.254134999999998</v>
      </c>
      <c r="G205" s="11">
        <v>27202600</v>
      </c>
      <c r="H205" s="3">
        <f>(INTC[[#This Row],[Close]]-E204)/E204</f>
        <v>1.1456009641991585E-2</v>
      </c>
    </row>
    <row r="206" spans="1:8" x14ac:dyDescent="0.25">
      <c r="A206" s="8">
        <v>43476</v>
      </c>
      <c r="B206" s="4">
        <v>48.099997999999999</v>
      </c>
      <c r="C206" s="4">
        <v>49.290000999999997</v>
      </c>
      <c r="D206" s="4">
        <v>48.049999</v>
      </c>
      <c r="E206" s="4">
        <v>48.93</v>
      </c>
      <c r="F206" s="4">
        <v>48.621803</v>
      </c>
      <c r="G206" s="11">
        <v>21751300</v>
      </c>
      <c r="H206" s="3">
        <f>(INTC[[#This Row],[Close]]-E205)/E205</f>
        <v>7.6194191182162446E-3</v>
      </c>
    </row>
    <row r="207" spans="1:8" x14ac:dyDescent="0.25">
      <c r="A207" s="8">
        <v>43479</v>
      </c>
      <c r="B207" s="4">
        <v>48.459999000000003</v>
      </c>
      <c r="C207" s="4">
        <v>48.830002</v>
      </c>
      <c r="D207" s="4">
        <v>48.299999</v>
      </c>
      <c r="E207" s="4">
        <v>48.349997999999999</v>
      </c>
      <c r="F207" s="4">
        <v>48.045456000000001</v>
      </c>
      <c r="G207" s="11">
        <v>19193900</v>
      </c>
      <c r="H207" s="3">
        <f>(INTC[[#This Row],[Close]]-E206)/E206</f>
        <v>-1.1853709380748015E-2</v>
      </c>
    </row>
    <row r="208" spans="1:8" x14ac:dyDescent="0.25">
      <c r="A208" s="8">
        <v>43480</v>
      </c>
      <c r="B208" s="4">
        <v>48.709999000000003</v>
      </c>
      <c r="C208" s="4">
        <v>49.130001</v>
      </c>
      <c r="D208" s="4">
        <v>48.439999</v>
      </c>
      <c r="E208" s="4">
        <v>48.599997999999999</v>
      </c>
      <c r="F208" s="4">
        <v>48.293880000000001</v>
      </c>
      <c r="G208" s="11">
        <v>22480800</v>
      </c>
      <c r="H208" s="3">
        <f>(INTC[[#This Row],[Close]]-E207)/E207</f>
        <v>5.1706310308430627E-3</v>
      </c>
    </row>
    <row r="209" spans="1:8" x14ac:dyDescent="0.25">
      <c r="A209" s="8">
        <v>43481</v>
      </c>
      <c r="B209" s="4">
        <v>48.599997999999999</v>
      </c>
      <c r="C209" s="4">
        <v>48.889999000000003</v>
      </c>
      <c r="D209" s="4">
        <v>48.080002</v>
      </c>
      <c r="E209" s="4">
        <v>48.130001</v>
      </c>
      <c r="F209" s="4">
        <v>47.826842999999997</v>
      </c>
      <c r="G209" s="11">
        <v>19057700</v>
      </c>
      <c r="H209" s="3">
        <f>(INTC[[#This Row],[Close]]-E208)/E208</f>
        <v>-9.6707205625810796E-3</v>
      </c>
    </row>
    <row r="210" spans="1:8" x14ac:dyDescent="0.25">
      <c r="A210" s="8">
        <v>43482</v>
      </c>
      <c r="B210" s="4">
        <v>48</v>
      </c>
      <c r="C210" s="4">
        <v>48.84</v>
      </c>
      <c r="D210" s="4">
        <v>47.91</v>
      </c>
      <c r="E210" s="4">
        <v>48.470001000000003</v>
      </c>
      <c r="F210" s="4">
        <v>48.164703000000003</v>
      </c>
      <c r="G210" s="11">
        <v>17448700</v>
      </c>
      <c r="H210" s="3">
        <f>(INTC[[#This Row],[Close]]-E209)/E209</f>
        <v>7.0642009751880827E-3</v>
      </c>
    </row>
    <row r="211" spans="1:8" x14ac:dyDescent="0.25">
      <c r="A211" s="8">
        <v>43483</v>
      </c>
      <c r="B211" s="4">
        <v>49.110000999999997</v>
      </c>
      <c r="C211" s="4">
        <v>49.380001</v>
      </c>
      <c r="D211" s="4">
        <v>48.689999</v>
      </c>
      <c r="E211" s="4">
        <v>49.189999</v>
      </c>
      <c r="F211" s="4">
        <v>48.880164999999998</v>
      </c>
      <c r="G211" s="11">
        <v>29874600</v>
      </c>
      <c r="H211" s="3">
        <f>(INTC[[#This Row],[Close]]-E210)/E210</f>
        <v>1.4854507636589418E-2</v>
      </c>
    </row>
    <row r="212" spans="1:8" x14ac:dyDescent="0.25">
      <c r="A212" s="8">
        <v>43487</v>
      </c>
      <c r="B212" s="4">
        <v>48.959999000000003</v>
      </c>
      <c r="C212" s="4">
        <v>48.98</v>
      </c>
      <c r="D212" s="4">
        <v>47.869999</v>
      </c>
      <c r="E212" s="4">
        <v>48.27</v>
      </c>
      <c r="F212" s="4">
        <v>47.965961</v>
      </c>
      <c r="G212" s="11">
        <v>25940700</v>
      </c>
      <c r="H212" s="3">
        <f>(INTC[[#This Row],[Close]]-E211)/E211</f>
        <v>-1.8702968463162543E-2</v>
      </c>
    </row>
    <row r="213" spans="1:8" x14ac:dyDescent="0.25">
      <c r="A213" s="8">
        <v>43488</v>
      </c>
      <c r="B213" s="4">
        <v>48.41</v>
      </c>
      <c r="C213" s="4">
        <v>48.799999</v>
      </c>
      <c r="D213" s="4">
        <v>47.52</v>
      </c>
      <c r="E213" s="4">
        <v>47.939999</v>
      </c>
      <c r="F213" s="4">
        <v>47.638038999999999</v>
      </c>
      <c r="G213" s="11">
        <v>18960700</v>
      </c>
      <c r="H213" s="3">
        <f>(INTC[[#This Row],[Close]]-E212)/E212</f>
        <v>-6.8365651543402291E-3</v>
      </c>
    </row>
    <row r="214" spans="1:8" x14ac:dyDescent="0.25">
      <c r="A214" s="8">
        <v>43489</v>
      </c>
      <c r="B214" s="4">
        <v>48.700001</v>
      </c>
      <c r="C214" s="4">
        <v>50.040000999999997</v>
      </c>
      <c r="D214" s="4">
        <v>48.599997999999999</v>
      </c>
      <c r="E214" s="4">
        <v>49.759998000000003</v>
      </c>
      <c r="F214" s="4">
        <v>49.446575000000003</v>
      </c>
      <c r="G214" s="11">
        <v>50578300</v>
      </c>
      <c r="H214" s="3">
        <f>(INTC[[#This Row],[Close]]-E213)/E213</f>
        <v>3.7964101751441479E-2</v>
      </c>
    </row>
    <row r="215" spans="1:8" x14ac:dyDescent="0.25">
      <c r="A215" s="8">
        <v>43490</v>
      </c>
      <c r="B215" s="4">
        <v>46.849997999999999</v>
      </c>
      <c r="C215" s="4">
        <v>47.43</v>
      </c>
      <c r="D215" s="4">
        <v>45.75</v>
      </c>
      <c r="E215" s="4">
        <v>47.040000999999997</v>
      </c>
      <c r="F215" s="4">
        <v>46.74371</v>
      </c>
      <c r="G215" s="11">
        <v>86455700</v>
      </c>
      <c r="H215" s="3">
        <f>(INTC[[#This Row],[Close]]-E214)/E214</f>
        <v>-5.4662321328871562E-2</v>
      </c>
    </row>
    <row r="216" spans="1:8" x14ac:dyDescent="0.25">
      <c r="A216" s="8">
        <v>43493</v>
      </c>
      <c r="B216" s="4">
        <v>46.130001</v>
      </c>
      <c r="C216" s="4">
        <v>46.73</v>
      </c>
      <c r="D216" s="4">
        <v>46.049999</v>
      </c>
      <c r="E216" s="4">
        <v>46.709999000000003</v>
      </c>
      <c r="F216" s="4">
        <v>46.415787000000002</v>
      </c>
      <c r="G216" s="11">
        <v>35928700</v>
      </c>
      <c r="H216" s="3">
        <f>(INTC[[#This Row],[Close]]-E215)/E215</f>
        <v>-7.0153484903198293E-3</v>
      </c>
    </row>
    <row r="217" spans="1:8" x14ac:dyDescent="0.25">
      <c r="A217" s="8">
        <v>43494</v>
      </c>
      <c r="B217" s="4">
        <v>46.779998999999997</v>
      </c>
      <c r="C217" s="4">
        <v>46.970001000000003</v>
      </c>
      <c r="D217" s="4">
        <v>46.330002</v>
      </c>
      <c r="E217" s="4">
        <v>46.540000999999997</v>
      </c>
      <c r="F217" s="4">
        <v>46.246856999999999</v>
      </c>
      <c r="G217" s="11">
        <v>20988300</v>
      </c>
      <c r="H217" s="3">
        <f>(INTC[[#This Row],[Close]]-E216)/E216</f>
        <v>-3.6394348884487612E-3</v>
      </c>
    </row>
    <row r="218" spans="1:8" x14ac:dyDescent="0.25">
      <c r="A218" s="8">
        <v>43495</v>
      </c>
      <c r="B218" s="4">
        <v>46.68</v>
      </c>
      <c r="C218" s="4">
        <v>47.68</v>
      </c>
      <c r="D218" s="4">
        <v>46.450001</v>
      </c>
      <c r="E218" s="4">
        <v>47.540000999999997</v>
      </c>
      <c r="F218" s="4">
        <v>47.240558999999998</v>
      </c>
      <c r="G218" s="11">
        <v>26931700</v>
      </c>
      <c r="H218" s="3">
        <f>(INTC[[#This Row],[Close]]-E217)/E217</f>
        <v>2.1486892533586325E-2</v>
      </c>
    </row>
    <row r="219" spans="1:8" x14ac:dyDescent="0.25">
      <c r="A219" s="8">
        <v>43496</v>
      </c>
      <c r="B219" s="4">
        <v>46.700001</v>
      </c>
      <c r="C219" s="4">
        <v>47.18</v>
      </c>
      <c r="D219" s="4">
        <v>46.099997999999999</v>
      </c>
      <c r="E219" s="4">
        <v>47.119999</v>
      </c>
      <c r="F219" s="4">
        <v>46.823203999999997</v>
      </c>
      <c r="G219" s="11">
        <v>43051300</v>
      </c>
      <c r="H219" s="3">
        <f>(INTC[[#This Row],[Close]]-E218)/E218</f>
        <v>-8.834707428802888E-3</v>
      </c>
    </row>
    <row r="220" spans="1:8" x14ac:dyDescent="0.25">
      <c r="A220" s="8">
        <v>43497</v>
      </c>
      <c r="B220" s="4">
        <v>47.060001</v>
      </c>
      <c r="C220" s="4">
        <v>49.049999</v>
      </c>
      <c r="D220" s="4">
        <v>47.009998000000003</v>
      </c>
      <c r="E220" s="4">
        <v>48.73</v>
      </c>
      <c r="F220" s="4">
        <v>48.423060999999997</v>
      </c>
      <c r="G220" s="11">
        <v>37442900</v>
      </c>
      <c r="H220" s="3">
        <f>(INTC[[#This Row],[Close]]-E219)/E219</f>
        <v>3.4168103441598055E-2</v>
      </c>
    </row>
    <row r="221" spans="1:8" x14ac:dyDescent="0.25">
      <c r="A221" s="8">
        <v>43500</v>
      </c>
      <c r="B221" s="4">
        <v>48.619999</v>
      </c>
      <c r="C221" s="4">
        <v>49.240001999999997</v>
      </c>
      <c r="D221" s="4">
        <v>48.240001999999997</v>
      </c>
      <c r="E221" s="4">
        <v>49.220001000000003</v>
      </c>
      <c r="F221" s="4">
        <v>48.909976999999998</v>
      </c>
      <c r="G221" s="11">
        <v>20905000</v>
      </c>
      <c r="H221" s="3">
        <f>(INTC[[#This Row],[Close]]-E220)/E220</f>
        <v>1.0055427867843353E-2</v>
      </c>
    </row>
    <row r="222" spans="1:8" x14ac:dyDescent="0.25">
      <c r="A222" s="8">
        <v>43501</v>
      </c>
      <c r="B222" s="4">
        <v>49.18</v>
      </c>
      <c r="C222" s="4">
        <v>50.720001000000003</v>
      </c>
      <c r="D222" s="4">
        <v>49.18</v>
      </c>
      <c r="E222" s="4">
        <v>50.009998000000003</v>
      </c>
      <c r="F222" s="4">
        <v>49.695</v>
      </c>
      <c r="G222" s="11">
        <v>31641600</v>
      </c>
      <c r="H222" s="3">
        <f>(INTC[[#This Row],[Close]]-E221)/E221</f>
        <v>1.6050324745015741E-2</v>
      </c>
    </row>
    <row r="223" spans="1:8" x14ac:dyDescent="0.25">
      <c r="A223" s="8">
        <v>43502</v>
      </c>
      <c r="B223" s="4">
        <v>49.950001</v>
      </c>
      <c r="C223" s="4">
        <v>50.639999000000003</v>
      </c>
      <c r="D223" s="4">
        <v>49.82</v>
      </c>
      <c r="E223" s="4">
        <v>49.900002000000001</v>
      </c>
      <c r="F223" s="4">
        <v>49.900002000000001</v>
      </c>
      <c r="G223" s="11">
        <v>21647800</v>
      </c>
      <c r="H223" s="3">
        <f>(INTC[[#This Row],[Close]]-E222)/E222</f>
        <v>-2.1994801919408679E-3</v>
      </c>
    </row>
    <row r="224" spans="1:8" x14ac:dyDescent="0.25">
      <c r="A224" s="8">
        <v>43503</v>
      </c>
      <c r="B224" s="4">
        <v>49.5</v>
      </c>
      <c r="C224" s="4">
        <v>49.849997999999999</v>
      </c>
      <c r="D224" s="4">
        <v>48.68</v>
      </c>
      <c r="E224" s="4">
        <v>49.23</v>
      </c>
      <c r="F224" s="4">
        <v>49.23</v>
      </c>
      <c r="G224" s="11">
        <v>27825900</v>
      </c>
      <c r="H224" s="3">
        <f>(INTC[[#This Row],[Close]]-E223)/E223</f>
        <v>-1.3426893249423191E-2</v>
      </c>
    </row>
    <row r="225" spans="1:8" x14ac:dyDescent="0.25">
      <c r="A225" s="8">
        <v>43504</v>
      </c>
      <c r="B225" s="4">
        <v>48.77</v>
      </c>
      <c r="C225" s="4">
        <v>49.02</v>
      </c>
      <c r="D225" s="4">
        <v>48.009998000000003</v>
      </c>
      <c r="E225" s="4">
        <v>48.84</v>
      </c>
      <c r="F225" s="4">
        <v>48.84</v>
      </c>
      <c r="G225" s="11">
        <v>18851200</v>
      </c>
      <c r="H225" s="3">
        <f>(INTC[[#This Row],[Close]]-E224)/E224</f>
        <v>-7.9219987812308244E-3</v>
      </c>
    </row>
    <row r="226" spans="1:8" x14ac:dyDescent="0.25">
      <c r="A226" s="8">
        <v>43507</v>
      </c>
      <c r="B226" s="4">
        <v>49.02</v>
      </c>
      <c r="C226" s="4">
        <v>49.32</v>
      </c>
      <c r="D226" s="4">
        <v>48.580002</v>
      </c>
      <c r="E226" s="4">
        <v>48.77</v>
      </c>
      <c r="F226" s="4">
        <v>48.77</v>
      </c>
      <c r="G226" s="11">
        <v>18004100</v>
      </c>
      <c r="H226" s="3">
        <f>(INTC[[#This Row],[Close]]-E225)/E225</f>
        <v>-1.433251433251439E-3</v>
      </c>
    </row>
    <row r="227" spans="1:8" x14ac:dyDescent="0.25">
      <c r="A227" s="8">
        <v>43508</v>
      </c>
      <c r="B227" s="4">
        <v>49.360000999999997</v>
      </c>
      <c r="C227" s="4">
        <v>50.139999000000003</v>
      </c>
      <c r="D227" s="4">
        <v>49.27</v>
      </c>
      <c r="E227" s="4">
        <v>50.009998000000003</v>
      </c>
      <c r="F227" s="4">
        <v>50.009998000000003</v>
      </c>
      <c r="G227" s="11">
        <v>18050100</v>
      </c>
      <c r="H227" s="3">
        <f>(INTC[[#This Row],[Close]]-E226)/E226</f>
        <v>2.542542546647529E-2</v>
      </c>
    </row>
    <row r="228" spans="1:8" x14ac:dyDescent="0.25">
      <c r="A228" s="8">
        <v>43509</v>
      </c>
      <c r="B228" s="4">
        <v>50.130001</v>
      </c>
      <c r="C228" s="4">
        <v>50.810001</v>
      </c>
      <c r="D228" s="4">
        <v>50</v>
      </c>
      <c r="E228" s="4">
        <v>50.470001000000003</v>
      </c>
      <c r="F228" s="4">
        <v>50.470001000000003</v>
      </c>
      <c r="G228" s="11">
        <v>17712800</v>
      </c>
      <c r="H228" s="3">
        <f>(INTC[[#This Row],[Close]]-E227)/E227</f>
        <v>9.1982207237840796E-3</v>
      </c>
    </row>
    <row r="229" spans="1:8" x14ac:dyDescent="0.25">
      <c r="A229" s="8">
        <v>43510</v>
      </c>
      <c r="B229" s="4">
        <v>50.41</v>
      </c>
      <c r="C229" s="4">
        <v>51.040000999999997</v>
      </c>
      <c r="D229" s="4">
        <v>50.349997999999999</v>
      </c>
      <c r="E229" s="4">
        <v>50.810001</v>
      </c>
      <c r="F229" s="4">
        <v>50.810001</v>
      </c>
      <c r="G229" s="11">
        <v>17545400</v>
      </c>
      <c r="H229" s="3">
        <f>(INTC[[#This Row],[Close]]-E228)/E228</f>
        <v>6.7366751191464463E-3</v>
      </c>
    </row>
    <row r="230" spans="1:8" x14ac:dyDescent="0.25">
      <c r="A230" s="8">
        <v>43511</v>
      </c>
      <c r="B230" s="4">
        <v>51.25</v>
      </c>
      <c r="C230" s="4">
        <v>51.669998</v>
      </c>
      <c r="D230" s="4">
        <v>51.09</v>
      </c>
      <c r="E230" s="4">
        <v>51.66</v>
      </c>
      <c r="F230" s="4">
        <v>51.66</v>
      </c>
      <c r="G230" s="11">
        <v>22520400</v>
      </c>
      <c r="H230" s="3">
        <f>(INTC[[#This Row],[Close]]-E229)/E229</f>
        <v>1.6728970345818273E-2</v>
      </c>
    </row>
    <row r="231" spans="1:8" x14ac:dyDescent="0.25">
      <c r="A231" s="8">
        <v>43515</v>
      </c>
      <c r="B231" s="4">
        <v>51.349997999999999</v>
      </c>
      <c r="C231" s="4">
        <v>51.709999000000003</v>
      </c>
      <c r="D231" s="4">
        <v>51.34</v>
      </c>
      <c r="E231" s="4">
        <v>51.400002000000001</v>
      </c>
      <c r="F231" s="4">
        <v>51.400002000000001</v>
      </c>
      <c r="G231" s="11">
        <v>15611800</v>
      </c>
      <c r="H231" s="3">
        <f>(INTC[[#This Row],[Close]]-E230)/E230</f>
        <v>-5.0328687572589233E-3</v>
      </c>
    </row>
    <row r="232" spans="1:8" x14ac:dyDescent="0.25">
      <c r="A232" s="8">
        <v>43516</v>
      </c>
      <c r="B232" s="4">
        <v>51.630001</v>
      </c>
      <c r="C232" s="4">
        <v>51.73</v>
      </c>
      <c r="D232" s="4">
        <v>51.060001</v>
      </c>
      <c r="E232" s="4">
        <v>51.389999000000003</v>
      </c>
      <c r="F232" s="4">
        <v>51.389999000000003</v>
      </c>
      <c r="G232" s="11">
        <v>21607700</v>
      </c>
      <c r="H232" s="3">
        <f>(INTC[[#This Row],[Close]]-E231)/E231</f>
        <v>-1.9461088736917834E-4</v>
      </c>
    </row>
    <row r="233" spans="1:8" x14ac:dyDescent="0.25">
      <c r="A233" s="8">
        <v>43517</v>
      </c>
      <c r="B233" s="4">
        <v>51.32</v>
      </c>
      <c r="C233" s="4">
        <v>51.84</v>
      </c>
      <c r="D233" s="4">
        <v>51.209999000000003</v>
      </c>
      <c r="E233" s="4">
        <v>51.41</v>
      </c>
      <c r="F233" s="4">
        <v>51.41</v>
      </c>
      <c r="G233" s="11">
        <v>16162100</v>
      </c>
      <c r="H233" s="3">
        <f>(INTC[[#This Row],[Close]]-E232)/E232</f>
        <v>3.8920024108180065E-4</v>
      </c>
    </row>
    <row r="234" spans="1:8" x14ac:dyDescent="0.25">
      <c r="A234" s="8">
        <v>43518</v>
      </c>
      <c r="B234" s="4">
        <v>52.700001</v>
      </c>
      <c r="C234" s="4">
        <v>52.98</v>
      </c>
      <c r="D234" s="4">
        <v>52.060001</v>
      </c>
      <c r="E234" s="4">
        <v>52.490001999999997</v>
      </c>
      <c r="F234" s="4">
        <v>52.490001999999997</v>
      </c>
      <c r="G234" s="11">
        <v>31934100</v>
      </c>
      <c r="H234" s="3">
        <f>(INTC[[#This Row],[Close]]-E233)/E233</f>
        <v>2.1007624975685674E-2</v>
      </c>
    </row>
    <row r="235" spans="1:8" x14ac:dyDescent="0.25">
      <c r="A235" s="8">
        <v>43521</v>
      </c>
      <c r="B235" s="4">
        <v>53.060001</v>
      </c>
      <c r="C235" s="4">
        <v>53.610000999999997</v>
      </c>
      <c r="D235" s="4">
        <v>52.860000999999997</v>
      </c>
      <c r="E235" s="4">
        <v>53.099997999999999</v>
      </c>
      <c r="F235" s="4">
        <v>53.099997999999999</v>
      </c>
      <c r="G235" s="11">
        <v>20711800</v>
      </c>
      <c r="H235" s="3">
        <f>(INTC[[#This Row],[Close]]-E234)/E234</f>
        <v>1.1621184544820602E-2</v>
      </c>
    </row>
    <row r="236" spans="1:8" x14ac:dyDescent="0.25">
      <c r="A236" s="8">
        <v>43522</v>
      </c>
      <c r="B236" s="4">
        <v>53.009998000000003</v>
      </c>
      <c r="C236" s="4">
        <v>53.369999</v>
      </c>
      <c r="D236" s="4">
        <v>52.91</v>
      </c>
      <c r="E236" s="4">
        <v>53.23</v>
      </c>
      <c r="F236" s="4">
        <v>53.23</v>
      </c>
      <c r="G236" s="11">
        <v>16082200</v>
      </c>
      <c r="H236" s="3">
        <f>(INTC[[#This Row],[Close]]-E235)/E235</f>
        <v>2.4482486797833308E-3</v>
      </c>
    </row>
    <row r="237" spans="1:8" x14ac:dyDescent="0.25">
      <c r="A237" s="8">
        <v>43523</v>
      </c>
      <c r="B237" s="4">
        <v>52.759998000000003</v>
      </c>
      <c r="C237" s="4">
        <v>53.380001</v>
      </c>
      <c r="D237" s="4">
        <v>52.509998000000003</v>
      </c>
      <c r="E237" s="4">
        <v>53.240001999999997</v>
      </c>
      <c r="F237" s="4">
        <v>53.240001999999997</v>
      </c>
      <c r="G237" s="11">
        <v>17590300</v>
      </c>
      <c r="H237" s="3">
        <f>(INTC[[#This Row],[Close]]-E236)/E236</f>
        <v>1.87901559271089E-4</v>
      </c>
    </row>
    <row r="238" spans="1:8" x14ac:dyDescent="0.25">
      <c r="A238" s="8">
        <v>43524</v>
      </c>
      <c r="B238" s="4">
        <v>52.919998</v>
      </c>
      <c r="C238" s="4">
        <v>53.18</v>
      </c>
      <c r="D238" s="4">
        <v>52.810001</v>
      </c>
      <c r="E238" s="4">
        <v>52.959999000000003</v>
      </c>
      <c r="F238" s="4">
        <v>52.959999000000003</v>
      </c>
      <c r="G238" s="11">
        <v>18388800</v>
      </c>
      <c r="H238" s="3">
        <f>(INTC[[#This Row],[Close]]-E237)/E237</f>
        <v>-5.2592597573530063E-3</v>
      </c>
    </row>
    <row r="239" spans="1:8" x14ac:dyDescent="0.25">
      <c r="A239" s="8">
        <v>43525</v>
      </c>
      <c r="B239" s="4">
        <v>53.439999</v>
      </c>
      <c r="C239" s="4">
        <v>53.68</v>
      </c>
      <c r="D239" s="4">
        <v>52.889999000000003</v>
      </c>
      <c r="E239" s="4">
        <v>53.299999</v>
      </c>
      <c r="F239" s="4">
        <v>53.299999</v>
      </c>
      <c r="G239" s="11">
        <v>18359300</v>
      </c>
      <c r="H239" s="3">
        <f>(INTC[[#This Row],[Close]]-E238)/E238</f>
        <v>6.4199396982616312E-3</v>
      </c>
    </row>
    <row r="240" spans="1:8" x14ac:dyDescent="0.25">
      <c r="A240" s="8">
        <v>43528</v>
      </c>
      <c r="B240" s="4">
        <v>53.75</v>
      </c>
      <c r="C240" s="4">
        <v>54.099997999999999</v>
      </c>
      <c r="D240" s="4">
        <v>53.209999000000003</v>
      </c>
      <c r="E240" s="4">
        <v>53.939999</v>
      </c>
      <c r="F240" s="4">
        <v>53.939999</v>
      </c>
      <c r="G240" s="11">
        <v>21706100</v>
      </c>
      <c r="H240" s="3">
        <f>(INTC[[#This Row],[Close]]-E239)/E239</f>
        <v>1.2007504915713049E-2</v>
      </c>
    </row>
    <row r="241" spans="1:8" x14ac:dyDescent="0.25">
      <c r="A241" s="8">
        <v>43529</v>
      </c>
      <c r="B241" s="4">
        <v>53.849997999999999</v>
      </c>
      <c r="C241" s="4">
        <v>53.990001999999997</v>
      </c>
      <c r="D241" s="4">
        <v>53.110000999999997</v>
      </c>
      <c r="E241" s="4">
        <v>53.68</v>
      </c>
      <c r="F241" s="4">
        <v>53.68</v>
      </c>
      <c r="G241" s="11">
        <v>21057700</v>
      </c>
      <c r="H241" s="3">
        <f>(INTC[[#This Row],[Close]]-E240)/E240</f>
        <v>-4.8201521101251879E-3</v>
      </c>
    </row>
    <row r="242" spans="1:8" x14ac:dyDescent="0.25">
      <c r="A242" s="8">
        <v>43530</v>
      </c>
      <c r="B242" s="4">
        <v>53.630001</v>
      </c>
      <c r="C242" s="4">
        <v>53.650002000000001</v>
      </c>
      <c r="D242" s="4">
        <v>52.939999</v>
      </c>
      <c r="E242" s="4">
        <v>52.950001</v>
      </c>
      <c r="F242" s="4">
        <v>52.950001</v>
      </c>
      <c r="G242" s="11">
        <v>14740500</v>
      </c>
      <c r="H242" s="3">
        <f>(INTC[[#This Row],[Close]]-E241)/E241</f>
        <v>-1.3599087183308484E-2</v>
      </c>
    </row>
    <row r="243" spans="1:8" x14ac:dyDescent="0.25">
      <c r="A243" s="8">
        <v>43531</v>
      </c>
      <c r="B243" s="4">
        <v>52.77</v>
      </c>
      <c r="C243" s="4">
        <v>52.990001999999997</v>
      </c>
      <c r="D243" s="4">
        <v>52.360000999999997</v>
      </c>
      <c r="E243" s="4">
        <v>52.599997999999999</v>
      </c>
      <c r="F243" s="4">
        <v>52.599997999999999</v>
      </c>
      <c r="G243" s="11">
        <v>17803000</v>
      </c>
      <c r="H243" s="3">
        <f>(INTC[[#This Row],[Close]]-E242)/E242</f>
        <v>-6.6100659752584513E-3</v>
      </c>
    </row>
    <row r="244" spans="1:8" x14ac:dyDescent="0.25">
      <c r="A244" s="8">
        <v>43532</v>
      </c>
      <c r="B244" s="4">
        <v>51.970001000000003</v>
      </c>
      <c r="C244" s="4">
        <v>52.560001</v>
      </c>
      <c r="D244" s="4">
        <v>51.700001</v>
      </c>
      <c r="E244" s="4">
        <v>52.48</v>
      </c>
      <c r="F244" s="4">
        <v>52.48</v>
      </c>
      <c r="G244" s="11">
        <v>16793900</v>
      </c>
      <c r="H244" s="3">
        <f>(INTC[[#This Row],[Close]]-E243)/E243</f>
        <v>-2.2813308852217542E-3</v>
      </c>
    </row>
    <row r="245" spans="1:8" x14ac:dyDescent="0.25">
      <c r="A245" s="8">
        <v>43535</v>
      </c>
      <c r="B245" s="4">
        <v>52.880001</v>
      </c>
      <c r="C245" s="4">
        <v>53.650002000000001</v>
      </c>
      <c r="D245" s="4">
        <v>52.57</v>
      </c>
      <c r="E245" s="4">
        <v>53.349997999999999</v>
      </c>
      <c r="F245" s="4">
        <v>53.349997999999999</v>
      </c>
      <c r="G245" s="11">
        <v>18963000</v>
      </c>
      <c r="H245" s="3">
        <f>(INTC[[#This Row],[Close]]-E244)/E244</f>
        <v>1.6577705792682976E-2</v>
      </c>
    </row>
    <row r="246" spans="1:8" x14ac:dyDescent="0.25">
      <c r="A246" s="8">
        <v>43536</v>
      </c>
      <c r="B246" s="4">
        <v>53.34</v>
      </c>
      <c r="C246" s="4">
        <v>53.959999000000003</v>
      </c>
      <c r="D246" s="4">
        <v>53.18</v>
      </c>
      <c r="E246" s="4">
        <v>53.57</v>
      </c>
      <c r="F246" s="4">
        <v>53.57</v>
      </c>
      <c r="G246" s="11">
        <v>20782100</v>
      </c>
      <c r="H246" s="3">
        <f>(INTC[[#This Row],[Close]]-E245)/E245</f>
        <v>4.1237489830833907E-3</v>
      </c>
    </row>
    <row r="247" spans="1:8" x14ac:dyDescent="0.25">
      <c r="A247" s="8">
        <v>43537</v>
      </c>
      <c r="B247" s="4">
        <v>54</v>
      </c>
      <c r="C247" s="4">
        <v>54.57</v>
      </c>
      <c r="D247" s="4">
        <v>53.650002000000001</v>
      </c>
      <c r="E247" s="4">
        <v>54.369999</v>
      </c>
      <c r="F247" s="4">
        <v>54.369999</v>
      </c>
      <c r="G247" s="11">
        <v>25522300</v>
      </c>
      <c r="H247" s="3">
        <f>(INTC[[#This Row],[Close]]-E246)/E246</f>
        <v>1.4933712899010635E-2</v>
      </c>
    </row>
    <row r="248" spans="1:8" x14ac:dyDescent="0.25">
      <c r="A248" s="8">
        <v>43538</v>
      </c>
      <c r="B248" s="4">
        <v>54.299999</v>
      </c>
      <c r="C248" s="4">
        <v>54.450001</v>
      </c>
      <c r="D248" s="4">
        <v>53.330002</v>
      </c>
      <c r="E248" s="4">
        <v>53.439999</v>
      </c>
      <c r="F248" s="4">
        <v>53.439999</v>
      </c>
      <c r="G248" s="11">
        <v>26647100</v>
      </c>
      <c r="H248" s="3">
        <f>(INTC[[#This Row],[Close]]-E247)/E247</f>
        <v>-1.7105021465974271E-2</v>
      </c>
    </row>
    <row r="249" spans="1:8" x14ac:dyDescent="0.25">
      <c r="A249" s="8">
        <v>43539</v>
      </c>
      <c r="B249" s="4">
        <v>53.68</v>
      </c>
      <c r="C249" s="4">
        <v>54.689999</v>
      </c>
      <c r="D249" s="4">
        <v>53.68</v>
      </c>
      <c r="E249" s="4">
        <v>54.330002</v>
      </c>
      <c r="F249" s="4">
        <v>54.330002</v>
      </c>
      <c r="G249" s="11">
        <v>46512500</v>
      </c>
      <c r="H249" s="3">
        <f>(INTC[[#This Row],[Close]]-E248)/E248</f>
        <v>1.6654248066134882E-2</v>
      </c>
    </row>
    <row r="250" spans="1:8" x14ac:dyDescent="0.25">
      <c r="A250" s="8">
        <v>43542</v>
      </c>
      <c r="B250" s="4">
        <v>54.419998</v>
      </c>
      <c r="C250" s="4">
        <v>54.509998000000003</v>
      </c>
      <c r="D250" s="4">
        <v>53.869999</v>
      </c>
      <c r="E250" s="4">
        <v>54.099997999999999</v>
      </c>
      <c r="F250" s="4">
        <v>54.099997999999999</v>
      </c>
      <c r="G250" s="11">
        <v>16274000</v>
      </c>
      <c r="H250" s="3">
        <f>(INTC[[#This Row],[Close]]-E249)/E249</f>
        <v>-4.2334620197510943E-3</v>
      </c>
    </row>
    <row r="251" spans="1:8" x14ac:dyDescent="0.25">
      <c r="A251" s="8">
        <v>43543</v>
      </c>
      <c r="B251" s="4">
        <v>54.470001000000003</v>
      </c>
      <c r="C251" s="4">
        <v>54.650002000000001</v>
      </c>
      <c r="D251" s="4">
        <v>54</v>
      </c>
      <c r="E251" s="4">
        <v>54.169998</v>
      </c>
      <c r="F251" s="4">
        <v>54.169998</v>
      </c>
      <c r="G251" s="11">
        <v>18274800</v>
      </c>
      <c r="H251" s="3">
        <f>(INTC[[#This Row],[Close]]-E250)/E250</f>
        <v>1.2939002326765388E-3</v>
      </c>
    </row>
    <row r="252" spans="1:8" x14ac:dyDescent="0.25">
      <c r="A252" s="8">
        <v>43544</v>
      </c>
      <c r="B252" s="4">
        <v>54.060001</v>
      </c>
      <c r="C252" s="4">
        <v>54.400002000000001</v>
      </c>
      <c r="D252" s="4">
        <v>53.610000999999997</v>
      </c>
      <c r="E252" s="4">
        <v>53.82</v>
      </c>
      <c r="F252" s="4">
        <v>53.82</v>
      </c>
      <c r="G252" s="11">
        <v>24325300</v>
      </c>
      <c r="H252" s="3">
        <f>(INTC[[#This Row],[Close]]-E251)/E251</f>
        <v>-6.4611041706148734E-3</v>
      </c>
    </row>
    <row r="253" spans="1:8" x14ac:dyDescent="0.25">
      <c r="A253" s="8">
        <v>43545</v>
      </c>
      <c r="B253" s="4">
        <v>53.919998</v>
      </c>
      <c r="C253" s="4">
        <v>54.990001999999997</v>
      </c>
      <c r="D253" s="4">
        <v>53.84</v>
      </c>
      <c r="E253" s="4">
        <v>54.639999000000003</v>
      </c>
      <c r="F253" s="4">
        <v>54.639999000000003</v>
      </c>
      <c r="G253" s="11">
        <v>19127200</v>
      </c>
      <c r="H253" s="3">
        <f>(INTC[[#This Row],[Close]]-E252)/E252</f>
        <v>1.5235953177257577E-2</v>
      </c>
    </row>
    <row r="254" spans="1:8" x14ac:dyDescent="0.25">
      <c r="A254" s="8">
        <v>43546</v>
      </c>
      <c r="B254" s="4">
        <v>54.400002000000001</v>
      </c>
      <c r="C254" s="4">
        <v>54.619999</v>
      </c>
      <c r="D254" s="4">
        <v>53.209999000000003</v>
      </c>
      <c r="E254" s="4">
        <v>53.259998000000003</v>
      </c>
      <c r="F254" s="4">
        <v>53.259998000000003</v>
      </c>
      <c r="G254" s="11">
        <v>21434500</v>
      </c>
      <c r="H254" s="3">
        <f>(INTC[[#This Row],[Close]]-E253)/E253</f>
        <v>-2.5256241311424621E-2</v>
      </c>
    </row>
  </sheetData>
  <mergeCells count="4">
    <mergeCell ref="A1:D1"/>
    <mergeCell ref="E1:H1"/>
    <mergeCell ref="A2:D2"/>
    <mergeCell ref="E2:H2"/>
  </mergeCells>
  <conditionalFormatting sqref="A6:H254">
    <cfRule type="expression" dxfId="59" priority="1">
      <formula>$H6&lt;=SMALL($H:$H,5)</formula>
    </cfRule>
    <cfRule type="expression" dxfId="58" priority="2">
      <formula>$H6&gt;=LARGE($H:$H,5)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54"/>
  <sheetViews>
    <sheetView workbookViewId="0">
      <selection activeCell="H4" sqref="H4"/>
    </sheetView>
  </sheetViews>
  <sheetFormatPr defaultRowHeight="15" x14ac:dyDescent="0.25"/>
  <cols>
    <col min="1" max="1" width="16.5703125" customWidth="1"/>
    <col min="2" max="2" width="13.85546875" customWidth="1"/>
    <col min="3" max="4" width="12" customWidth="1"/>
    <col min="5" max="5" width="12.42578125" customWidth="1"/>
    <col min="6" max="6" width="14" customWidth="1"/>
    <col min="7" max="7" width="15" customWidth="1"/>
    <col min="8" max="8" width="21.42578125" customWidth="1"/>
  </cols>
  <sheetData>
    <row r="1" spans="1:8" ht="30" customHeight="1" thickBot="1" x14ac:dyDescent="0.3">
      <c r="A1" s="40" t="s">
        <v>29</v>
      </c>
      <c r="B1" s="40"/>
      <c r="C1" s="40"/>
      <c r="D1" s="41"/>
      <c r="E1" s="47" t="s">
        <v>36</v>
      </c>
      <c r="F1" s="47"/>
      <c r="G1" s="47"/>
      <c r="H1" s="47"/>
    </row>
    <row r="2" spans="1:8" ht="30" customHeight="1" thickBot="1" x14ac:dyDescent="0.3">
      <c r="A2" s="42" t="s">
        <v>5</v>
      </c>
      <c r="B2" s="42"/>
      <c r="C2" s="42"/>
      <c r="D2" s="43"/>
      <c r="E2" s="47" t="s">
        <v>37</v>
      </c>
      <c r="F2" s="47"/>
      <c r="G2" s="47"/>
      <c r="H2" s="47"/>
    </row>
    <row r="3" spans="1:8" x14ac:dyDescent="0.25">
      <c r="A3" s="13"/>
      <c r="B3" s="14"/>
      <c r="C3" s="13"/>
      <c r="D3" s="14"/>
      <c r="E3" s="14"/>
      <c r="F3" s="14"/>
      <c r="G3" s="13"/>
    </row>
    <row r="4" spans="1:8" ht="30" customHeight="1" x14ac:dyDescent="0.25">
      <c r="A4" s="9" t="s">
        <v>0</v>
      </c>
      <c r="B4" s="9" t="s">
        <v>1</v>
      </c>
      <c r="C4" s="9" t="s">
        <v>2</v>
      </c>
      <c r="D4" s="9" t="s">
        <v>3</v>
      </c>
      <c r="E4" s="9" t="s">
        <v>9</v>
      </c>
      <c r="F4" s="9" t="s">
        <v>28</v>
      </c>
      <c r="G4" s="9" t="s">
        <v>10</v>
      </c>
      <c r="H4" s="10" t="s">
        <v>4</v>
      </c>
    </row>
    <row r="5" spans="1:8" x14ac:dyDescent="0.25">
      <c r="A5" s="8">
        <v>43185</v>
      </c>
      <c r="B5" s="4">
        <v>238</v>
      </c>
      <c r="C5" s="4">
        <v>244.529999</v>
      </c>
      <c r="D5" s="4">
        <v>235.89999399999999</v>
      </c>
      <c r="E5" s="4">
        <v>244.479996</v>
      </c>
      <c r="F5" s="4">
        <v>243.70008899999999</v>
      </c>
      <c r="G5" s="11">
        <v>15285600</v>
      </c>
      <c r="H5" s="3" t="s">
        <v>11</v>
      </c>
    </row>
    <row r="6" spans="1:8" x14ac:dyDescent="0.25">
      <c r="A6" s="8">
        <v>43186</v>
      </c>
      <c r="B6" s="4">
        <v>247.75</v>
      </c>
      <c r="C6" s="4">
        <v>250</v>
      </c>
      <c r="D6" s="4">
        <v>219.85000600000001</v>
      </c>
      <c r="E6" s="4">
        <v>225.520004</v>
      </c>
      <c r="F6" s="4">
        <v>224.800568</v>
      </c>
      <c r="G6" s="11">
        <v>35225000</v>
      </c>
      <c r="H6" s="3">
        <f>(NVDA[[#This Row],[Close]]-E5)/E5</f>
        <v>-7.7552324567282796E-2</v>
      </c>
    </row>
    <row r="7" spans="1:8" x14ac:dyDescent="0.25">
      <c r="A7" s="8">
        <v>43187</v>
      </c>
      <c r="B7" s="4">
        <v>224.13000500000001</v>
      </c>
      <c r="C7" s="4">
        <v>229.38999899999999</v>
      </c>
      <c r="D7" s="4">
        <v>217</v>
      </c>
      <c r="E7" s="4">
        <v>221.35000600000001</v>
      </c>
      <c r="F7" s="4">
        <v>220.64389</v>
      </c>
      <c r="G7" s="11">
        <v>23647600</v>
      </c>
      <c r="H7" s="3">
        <f>(NVDA[[#This Row],[Close]]-E6)/E6</f>
        <v>-1.8490590307013263E-2</v>
      </c>
    </row>
    <row r="8" spans="1:8" x14ac:dyDescent="0.25">
      <c r="A8" s="8">
        <v>43188</v>
      </c>
      <c r="B8" s="4">
        <v>224.11000100000001</v>
      </c>
      <c r="C8" s="4">
        <v>235.5</v>
      </c>
      <c r="D8" s="4">
        <v>220.699997</v>
      </c>
      <c r="E8" s="4">
        <v>231.58999600000001</v>
      </c>
      <c r="F8" s="4">
        <v>230.85119599999999</v>
      </c>
      <c r="G8" s="11">
        <v>22915700</v>
      </c>
      <c r="H8" s="3">
        <f>(NVDA[[#This Row],[Close]]-E7)/E7</f>
        <v>4.6261530257198209E-2</v>
      </c>
    </row>
    <row r="9" spans="1:8" x14ac:dyDescent="0.25">
      <c r="A9" s="8">
        <v>43192</v>
      </c>
      <c r="B9" s="4">
        <v>228.740005</v>
      </c>
      <c r="C9" s="4">
        <v>234.64999399999999</v>
      </c>
      <c r="D9" s="4">
        <v>217.5</v>
      </c>
      <c r="E9" s="4">
        <v>221.050003</v>
      </c>
      <c r="F9" s="4">
        <v>220.344818</v>
      </c>
      <c r="G9" s="11">
        <v>23052300</v>
      </c>
      <c r="H9" s="3">
        <f>(NVDA[[#This Row],[Close]]-E8)/E8</f>
        <v>-4.5511434785810045E-2</v>
      </c>
    </row>
    <row r="10" spans="1:8" x14ac:dyDescent="0.25">
      <c r="A10" s="8">
        <v>43193</v>
      </c>
      <c r="B10" s="4">
        <v>227.800003</v>
      </c>
      <c r="C10" s="4">
        <v>230.35000600000001</v>
      </c>
      <c r="D10" s="4">
        <v>221.35000600000001</v>
      </c>
      <c r="E10" s="4">
        <v>225.35000600000001</v>
      </c>
      <c r="F10" s="4">
        <v>224.63111900000001</v>
      </c>
      <c r="G10" s="11">
        <v>16685800</v>
      </c>
      <c r="H10" s="3">
        <f>(NVDA[[#This Row],[Close]]-E9)/E9</f>
        <v>1.9452625838688651E-2</v>
      </c>
    </row>
    <row r="11" spans="1:8" x14ac:dyDescent="0.25">
      <c r="A11" s="8">
        <v>43194</v>
      </c>
      <c r="B11" s="4">
        <v>215.009995</v>
      </c>
      <c r="C11" s="4">
        <v>226.66000399999999</v>
      </c>
      <c r="D11" s="4">
        <v>214</v>
      </c>
      <c r="E11" s="4">
        <v>226.240005</v>
      </c>
      <c r="F11" s="4">
        <v>225.51828</v>
      </c>
      <c r="G11" s="11">
        <v>19729200</v>
      </c>
      <c r="H11" s="3">
        <f>(NVDA[[#This Row],[Close]]-E10)/E10</f>
        <v>3.94940748304213E-3</v>
      </c>
    </row>
    <row r="12" spans="1:8" x14ac:dyDescent="0.25">
      <c r="A12" s="8">
        <v>43195</v>
      </c>
      <c r="B12" s="4">
        <v>228.60000600000001</v>
      </c>
      <c r="C12" s="4">
        <v>229.13000500000001</v>
      </c>
      <c r="D12" s="4">
        <v>218.490005</v>
      </c>
      <c r="E12" s="4">
        <v>221.38000500000001</v>
      </c>
      <c r="F12" s="4">
        <v>220.673767</v>
      </c>
      <c r="G12" s="11">
        <v>17531000</v>
      </c>
      <c r="H12" s="3">
        <f>(NVDA[[#This Row],[Close]]-E11)/E11</f>
        <v>-2.1481611972206178E-2</v>
      </c>
    </row>
    <row r="13" spans="1:8" x14ac:dyDescent="0.25">
      <c r="A13" s="8">
        <v>43196</v>
      </c>
      <c r="B13" s="4">
        <v>217.229996</v>
      </c>
      <c r="C13" s="4">
        <v>221.60000600000001</v>
      </c>
      <c r="D13" s="4">
        <v>213.070007</v>
      </c>
      <c r="E13" s="4">
        <v>214.25</v>
      </c>
      <c r="F13" s="4">
        <v>213.566498</v>
      </c>
      <c r="G13" s="11">
        <v>16574700</v>
      </c>
      <c r="H13" s="3">
        <f>(NVDA[[#This Row],[Close]]-E12)/E12</f>
        <v>-3.2207086633682255E-2</v>
      </c>
    </row>
    <row r="14" spans="1:8" x14ac:dyDescent="0.25">
      <c r="A14" s="8">
        <v>43199</v>
      </c>
      <c r="B14" s="4">
        <v>216.800003</v>
      </c>
      <c r="C14" s="4">
        <v>221.970001</v>
      </c>
      <c r="D14" s="4">
        <v>214.60000600000001</v>
      </c>
      <c r="E14" s="4">
        <v>215.41000399999999</v>
      </c>
      <c r="F14" s="4">
        <v>214.722824</v>
      </c>
      <c r="G14" s="11">
        <v>12488100</v>
      </c>
      <c r="H14" s="3">
        <f>(NVDA[[#This Row],[Close]]-E13)/E13</f>
        <v>5.4142543757292249E-3</v>
      </c>
    </row>
    <row r="15" spans="1:8" x14ac:dyDescent="0.25">
      <c r="A15" s="8">
        <v>43200</v>
      </c>
      <c r="B15" s="4">
        <v>224.720001</v>
      </c>
      <c r="C15" s="4">
        <v>229</v>
      </c>
      <c r="D15" s="4">
        <v>222.41000399999999</v>
      </c>
      <c r="E15" s="4">
        <v>227.91000399999999</v>
      </c>
      <c r="F15" s="4">
        <v>227.182953</v>
      </c>
      <c r="G15" s="11">
        <v>19041900</v>
      </c>
      <c r="H15" s="3">
        <f>(NVDA[[#This Row],[Close]]-E14)/E14</f>
        <v>5.8028874090731646E-2</v>
      </c>
    </row>
    <row r="16" spans="1:8" x14ac:dyDescent="0.25">
      <c r="A16" s="8">
        <v>43201</v>
      </c>
      <c r="B16" s="4">
        <v>227.30999800000001</v>
      </c>
      <c r="C16" s="4">
        <v>228.979996</v>
      </c>
      <c r="D16" s="4">
        <v>224.91999799999999</v>
      </c>
      <c r="E16" s="4">
        <v>226.240005</v>
      </c>
      <c r="F16" s="4">
        <v>225.51828</v>
      </c>
      <c r="G16" s="11">
        <v>11506100</v>
      </c>
      <c r="H16" s="3">
        <f>(NVDA[[#This Row],[Close]]-E15)/E15</f>
        <v>-7.3274493031907023E-3</v>
      </c>
    </row>
    <row r="17" spans="1:8" x14ac:dyDescent="0.25">
      <c r="A17" s="8">
        <v>43202</v>
      </c>
      <c r="B17" s="4">
        <v>230</v>
      </c>
      <c r="C17" s="4">
        <v>235.320007</v>
      </c>
      <c r="D17" s="4">
        <v>228.21000699999999</v>
      </c>
      <c r="E17" s="4">
        <v>234.60000600000001</v>
      </c>
      <c r="F17" s="4">
        <v>233.851608</v>
      </c>
      <c r="G17" s="11">
        <v>14848000</v>
      </c>
      <c r="H17" s="3">
        <f>(NVDA[[#This Row],[Close]]-E16)/E16</f>
        <v>3.6951913080093907E-2</v>
      </c>
    </row>
    <row r="18" spans="1:8" x14ac:dyDescent="0.25">
      <c r="A18" s="8">
        <v>43203</v>
      </c>
      <c r="B18" s="4">
        <v>237.16999799999999</v>
      </c>
      <c r="C18" s="4">
        <v>237.509995</v>
      </c>
      <c r="D18" s="4">
        <v>229.550003</v>
      </c>
      <c r="E18" s="4">
        <v>231.5</v>
      </c>
      <c r="F18" s="4">
        <v>230.76149000000001</v>
      </c>
      <c r="G18" s="11">
        <v>12575900</v>
      </c>
      <c r="H18" s="3">
        <f>(NVDA[[#This Row],[Close]]-E17)/E17</f>
        <v>-1.3214006482165254E-2</v>
      </c>
    </row>
    <row r="19" spans="1:8" x14ac:dyDescent="0.25">
      <c r="A19" s="8">
        <v>43206</v>
      </c>
      <c r="B19" s="4">
        <v>231.770004</v>
      </c>
      <c r="C19" s="4">
        <v>232.83999600000001</v>
      </c>
      <c r="D19" s="4">
        <v>227.679993</v>
      </c>
      <c r="E19" s="4">
        <v>231.490005</v>
      </c>
      <c r="F19" s="4">
        <v>230.75152600000001</v>
      </c>
      <c r="G19" s="11">
        <v>8769800</v>
      </c>
      <c r="H19" s="3">
        <f>(NVDA[[#This Row],[Close]]-E18)/E18</f>
        <v>-4.3174946004334896E-5</v>
      </c>
    </row>
    <row r="20" spans="1:8" x14ac:dyDescent="0.25">
      <c r="A20" s="8">
        <v>43207</v>
      </c>
      <c r="B20" s="4">
        <v>233.60000600000001</v>
      </c>
      <c r="C20" s="4">
        <v>238.39999399999999</v>
      </c>
      <c r="D20" s="4">
        <v>231.35000600000001</v>
      </c>
      <c r="E20" s="4">
        <v>237.53999300000001</v>
      </c>
      <c r="F20" s="4">
        <v>236.78221099999999</v>
      </c>
      <c r="G20" s="11">
        <v>11180600</v>
      </c>
      <c r="H20" s="3">
        <f>(NVDA[[#This Row],[Close]]-E19)/E19</f>
        <v>2.6134985828005892E-2</v>
      </c>
    </row>
    <row r="21" spans="1:8" x14ac:dyDescent="0.25">
      <c r="A21" s="8">
        <v>43208</v>
      </c>
      <c r="B21" s="4">
        <v>235.5</v>
      </c>
      <c r="C21" s="4">
        <v>239.25</v>
      </c>
      <c r="D21" s="4">
        <v>232.770004</v>
      </c>
      <c r="E21" s="4">
        <v>236.36999499999999</v>
      </c>
      <c r="F21" s="4">
        <v>235.615936</v>
      </c>
      <c r="G21" s="11">
        <v>9784100</v>
      </c>
      <c r="H21" s="3">
        <f>(NVDA[[#This Row],[Close]]-E20)/E20</f>
        <v>-4.9254779594104852E-3</v>
      </c>
    </row>
    <row r="22" spans="1:8" x14ac:dyDescent="0.25">
      <c r="A22" s="8">
        <v>43209</v>
      </c>
      <c r="B22" s="4">
        <v>231.75</v>
      </c>
      <c r="C22" s="4">
        <v>233.10000600000001</v>
      </c>
      <c r="D22" s="4">
        <v>226.800003</v>
      </c>
      <c r="E22" s="4">
        <v>229.03999300000001</v>
      </c>
      <c r="F22" s="4">
        <v>228.30934099999999</v>
      </c>
      <c r="G22" s="11">
        <v>11799900</v>
      </c>
      <c r="H22" s="3">
        <f>(NVDA[[#This Row],[Close]]-E21)/E21</f>
        <v>-3.1010712675269884E-2</v>
      </c>
    </row>
    <row r="23" spans="1:8" x14ac:dyDescent="0.25">
      <c r="A23" s="8">
        <v>43210</v>
      </c>
      <c r="B23" s="4">
        <v>228.69000199999999</v>
      </c>
      <c r="C23" s="4">
        <v>232.10000600000001</v>
      </c>
      <c r="D23" s="4">
        <v>227.449997</v>
      </c>
      <c r="E23" s="4">
        <v>228.71000699999999</v>
      </c>
      <c r="F23" s="4">
        <v>227.98039199999999</v>
      </c>
      <c r="G23" s="11">
        <v>9655000</v>
      </c>
      <c r="H23" s="3">
        <f>(NVDA[[#This Row],[Close]]-E22)/E22</f>
        <v>-1.4407352867846946E-3</v>
      </c>
    </row>
    <row r="24" spans="1:8" x14ac:dyDescent="0.25">
      <c r="A24" s="8">
        <v>43213</v>
      </c>
      <c r="B24" s="4">
        <v>229.429993</v>
      </c>
      <c r="C24" s="4">
        <v>231.5</v>
      </c>
      <c r="D24" s="4">
        <v>222.83000200000001</v>
      </c>
      <c r="E24" s="4">
        <v>223.88000500000001</v>
      </c>
      <c r="F24" s="4">
        <v>223.16578699999999</v>
      </c>
      <c r="G24" s="11">
        <v>10687700</v>
      </c>
      <c r="H24" s="3">
        <f>(NVDA[[#This Row],[Close]]-E23)/E23</f>
        <v>-2.1118455039879296E-2</v>
      </c>
    </row>
    <row r="25" spans="1:8" x14ac:dyDescent="0.25">
      <c r="A25" s="8">
        <v>43214</v>
      </c>
      <c r="B25" s="4">
        <v>224.91999799999999</v>
      </c>
      <c r="C25" s="4">
        <v>228.800003</v>
      </c>
      <c r="D25" s="4">
        <v>218.55999800000001</v>
      </c>
      <c r="E25" s="4">
        <v>221.199997</v>
      </c>
      <c r="F25" s="4">
        <v>220.49435399999999</v>
      </c>
      <c r="G25" s="11">
        <v>10364900</v>
      </c>
      <c r="H25" s="3">
        <f>(NVDA[[#This Row],[Close]]-E24)/E24</f>
        <v>-1.1970734054611151E-2</v>
      </c>
    </row>
    <row r="26" spans="1:8" x14ac:dyDescent="0.25">
      <c r="A26" s="8">
        <v>43215</v>
      </c>
      <c r="B26" s="4">
        <v>220</v>
      </c>
      <c r="C26" s="4">
        <v>221.58000200000001</v>
      </c>
      <c r="D26" s="4">
        <v>210.300003</v>
      </c>
      <c r="E26" s="4">
        <v>216.66000399999999</v>
      </c>
      <c r="F26" s="4">
        <v>215.96882600000001</v>
      </c>
      <c r="G26" s="11">
        <v>14712300</v>
      </c>
      <c r="H26" s="3">
        <f>(NVDA[[#This Row],[Close]]-E25)/E25</f>
        <v>-2.0524380929354217E-2</v>
      </c>
    </row>
    <row r="27" spans="1:8" x14ac:dyDescent="0.25">
      <c r="A27" s="8">
        <v>43216</v>
      </c>
      <c r="B27" s="4">
        <v>223.199997</v>
      </c>
      <c r="C27" s="4">
        <v>225.550003</v>
      </c>
      <c r="D27" s="4">
        <v>220.529999</v>
      </c>
      <c r="E27" s="4">
        <v>225.220001</v>
      </c>
      <c r="F27" s="4">
        <v>224.50151099999999</v>
      </c>
      <c r="G27" s="11">
        <v>9395600</v>
      </c>
      <c r="H27" s="3">
        <f>(NVDA[[#This Row],[Close]]-E26)/E26</f>
        <v>3.9508893390401721E-2</v>
      </c>
    </row>
    <row r="28" spans="1:8" x14ac:dyDescent="0.25">
      <c r="A28" s="8">
        <v>43217</v>
      </c>
      <c r="B28" s="4">
        <v>229.5</v>
      </c>
      <c r="C28" s="4">
        <v>230.300003</v>
      </c>
      <c r="D28" s="4">
        <v>224.61999499999999</v>
      </c>
      <c r="E28" s="4">
        <v>226.33000200000001</v>
      </c>
      <c r="F28" s="4">
        <v>225.60797099999999</v>
      </c>
      <c r="G28" s="11">
        <v>10021200</v>
      </c>
      <c r="H28" s="3">
        <f>(NVDA[[#This Row],[Close]]-E27)/E27</f>
        <v>4.9285187597526521E-3</v>
      </c>
    </row>
    <row r="29" spans="1:8" x14ac:dyDescent="0.25">
      <c r="A29" s="8">
        <v>43220</v>
      </c>
      <c r="B29" s="4">
        <v>226.990005</v>
      </c>
      <c r="C29" s="4">
        <v>229</v>
      </c>
      <c r="D29" s="4">
        <v>224.11999499999999</v>
      </c>
      <c r="E29" s="4">
        <v>224.89999399999999</v>
      </c>
      <c r="F29" s="4">
        <v>224.18254099999999</v>
      </c>
      <c r="G29" s="11">
        <v>8196100</v>
      </c>
      <c r="H29" s="3">
        <f>(NVDA[[#This Row],[Close]]-E28)/E28</f>
        <v>-6.3182432172647395E-3</v>
      </c>
    </row>
    <row r="30" spans="1:8" x14ac:dyDescent="0.25">
      <c r="A30" s="8">
        <v>43221</v>
      </c>
      <c r="B30" s="4">
        <v>224.570007</v>
      </c>
      <c r="C30" s="4">
        <v>227.25</v>
      </c>
      <c r="D30" s="4">
        <v>222.199997</v>
      </c>
      <c r="E30" s="4">
        <v>227.13999899999999</v>
      </c>
      <c r="F30" s="4">
        <v>226.41542100000001</v>
      </c>
      <c r="G30" s="11">
        <v>6344700</v>
      </c>
      <c r="H30" s="3">
        <f>(NVDA[[#This Row],[Close]]-E29)/E29</f>
        <v>9.960004712138839E-3</v>
      </c>
    </row>
    <row r="31" spans="1:8" x14ac:dyDescent="0.25">
      <c r="A31" s="8">
        <v>43222</v>
      </c>
      <c r="B31" s="4">
        <v>227</v>
      </c>
      <c r="C31" s="4">
        <v>228.800003</v>
      </c>
      <c r="D31" s="4">
        <v>225.25</v>
      </c>
      <c r="E31" s="4">
        <v>226.30999800000001</v>
      </c>
      <c r="F31" s="4">
        <v>225.588043</v>
      </c>
      <c r="G31" s="11">
        <v>6706200</v>
      </c>
      <c r="H31" s="3">
        <f>(NVDA[[#This Row],[Close]]-E30)/E30</f>
        <v>-3.6541384329229552E-3</v>
      </c>
    </row>
    <row r="32" spans="1:8" x14ac:dyDescent="0.25">
      <c r="A32" s="8">
        <v>43223</v>
      </c>
      <c r="B32" s="4">
        <v>227.60000600000001</v>
      </c>
      <c r="C32" s="4">
        <v>234.050003</v>
      </c>
      <c r="D32" s="4">
        <v>225.770004</v>
      </c>
      <c r="E32" s="4">
        <v>232.990005</v>
      </c>
      <c r="F32" s="4">
        <v>232.24671900000001</v>
      </c>
      <c r="G32" s="11">
        <v>11078600</v>
      </c>
      <c r="H32" s="3">
        <f>(NVDA[[#This Row],[Close]]-E31)/E31</f>
        <v>2.9517065348566653E-2</v>
      </c>
    </row>
    <row r="33" spans="1:8" x14ac:dyDescent="0.25">
      <c r="A33" s="8">
        <v>43224</v>
      </c>
      <c r="B33" s="4">
        <v>231.83000200000001</v>
      </c>
      <c r="C33" s="4">
        <v>239.19000199999999</v>
      </c>
      <c r="D33" s="4">
        <v>231.13000500000001</v>
      </c>
      <c r="E33" s="4">
        <v>239.05999800000001</v>
      </c>
      <c r="F33" s="4">
        <v>238.29736299999999</v>
      </c>
      <c r="G33" s="11">
        <v>10016500</v>
      </c>
      <c r="H33" s="3">
        <f>(NVDA[[#This Row],[Close]]-E32)/E32</f>
        <v>2.6052589680832065E-2</v>
      </c>
    </row>
    <row r="34" spans="1:8" x14ac:dyDescent="0.25">
      <c r="A34" s="8">
        <v>43227</v>
      </c>
      <c r="B34" s="4">
        <v>243.28999300000001</v>
      </c>
      <c r="C34" s="4">
        <v>250.990005</v>
      </c>
      <c r="D34" s="4">
        <v>242.88999899999999</v>
      </c>
      <c r="E34" s="4">
        <v>248.679993</v>
      </c>
      <c r="F34" s="4">
        <v>247.886673</v>
      </c>
      <c r="G34" s="11">
        <v>17190400</v>
      </c>
      <c r="H34" s="3">
        <f>(NVDA[[#This Row],[Close]]-E33)/E33</f>
        <v>4.024092311755139E-2</v>
      </c>
    </row>
    <row r="35" spans="1:8" x14ac:dyDescent="0.25">
      <c r="A35" s="8">
        <v>43228</v>
      </c>
      <c r="B35" s="4">
        <v>248.69000199999999</v>
      </c>
      <c r="C35" s="4">
        <v>250.509995</v>
      </c>
      <c r="D35" s="4">
        <v>246.71000699999999</v>
      </c>
      <c r="E35" s="4">
        <v>250.39999399999999</v>
      </c>
      <c r="F35" s="4">
        <v>249.60119599999999</v>
      </c>
      <c r="G35" s="11">
        <v>12665400</v>
      </c>
      <c r="H35" s="3">
        <f>(NVDA[[#This Row],[Close]]-E34)/E34</f>
        <v>6.9165234374121776E-3</v>
      </c>
    </row>
    <row r="36" spans="1:8" x14ac:dyDescent="0.25">
      <c r="A36" s="8">
        <v>43229</v>
      </c>
      <c r="B36" s="4">
        <v>251.21000699999999</v>
      </c>
      <c r="C36" s="4">
        <v>255.86999499999999</v>
      </c>
      <c r="D36" s="4">
        <v>250.11000100000001</v>
      </c>
      <c r="E36" s="4">
        <v>255.779999</v>
      </c>
      <c r="F36" s="4">
        <v>254.96402</v>
      </c>
      <c r="G36" s="11">
        <v>14919000</v>
      </c>
      <c r="H36" s="3">
        <f>(NVDA[[#This Row],[Close]]-E35)/E35</f>
        <v>2.1485643486077764E-2</v>
      </c>
    </row>
    <row r="37" spans="1:8" x14ac:dyDescent="0.25">
      <c r="A37" s="8">
        <v>43230</v>
      </c>
      <c r="B37" s="4">
        <v>257.92001299999998</v>
      </c>
      <c r="C37" s="4">
        <v>260.5</v>
      </c>
      <c r="D37" s="4">
        <v>257.20001200000002</v>
      </c>
      <c r="E37" s="4">
        <v>260.13000499999998</v>
      </c>
      <c r="F37" s="4">
        <v>259.30014</v>
      </c>
      <c r="G37" s="11">
        <v>24852000</v>
      </c>
      <c r="H37" s="3">
        <f>(NVDA[[#This Row],[Close]]-E36)/E36</f>
        <v>1.7006826245237333E-2</v>
      </c>
    </row>
    <row r="38" spans="1:8" x14ac:dyDescent="0.25">
      <c r="A38" s="8">
        <v>43231</v>
      </c>
      <c r="B38" s="4">
        <v>252.779999</v>
      </c>
      <c r="C38" s="4">
        <v>259.790009</v>
      </c>
      <c r="D38" s="4">
        <v>250.53999300000001</v>
      </c>
      <c r="E38" s="4">
        <v>254.529999</v>
      </c>
      <c r="F38" s="4">
        <v>253.71800200000001</v>
      </c>
      <c r="G38" s="11">
        <v>30361400</v>
      </c>
      <c r="H38" s="3">
        <f>(NVDA[[#This Row],[Close]]-E37)/E37</f>
        <v>-2.1527720341219306E-2</v>
      </c>
    </row>
    <row r="39" spans="1:8" x14ac:dyDescent="0.25">
      <c r="A39" s="8">
        <v>43234</v>
      </c>
      <c r="B39" s="4">
        <v>256.07000699999998</v>
      </c>
      <c r="C39" s="4">
        <v>258.48998999999998</v>
      </c>
      <c r="D39" s="4">
        <v>254.39999399999999</v>
      </c>
      <c r="E39" s="4">
        <v>255.36000100000001</v>
      </c>
      <c r="F39" s="4">
        <v>254.54536400000001</v>
      </c>
      <c r="G39" s="11">
        <v>13078500</v>
      </c>
      <c r="H39" s="3">
        <f>(NVDA[[#This Row],[Close]]-E38)/E38</f>
        <v>3.2609201401050075E-3</v>
      </c>
    </row>
    <row r="40" spans="1:8" x14ac:dyDescent="0.25">
      <c r="A40" s="8">
        <v>43235</v>
      </c>
      <c r="B40" s="4">
        <v>252.78999300000001</v>
      </c>
      <c r="C40" s="4">
        <v>252.89999399999999</v>
      </c>
      <c r="D40" s="4">
        <v>241.5</v>
      </c>
      <c r="E40" s="4">
        <v>245.55999800000001</v>
      </c>
      <c r="F40" s="4">
        <v>244.77662699999999</v>
      </c>
      <c r="G40" s="11">
        <v>24088200</v>
      </c>
      <c r="H40" s="3">
        <f>(NVDA[[#This Row],[Close]]-E39)/E39</f>
        <v>-3.837720458028978E-2</v>
      </c>
    </row>
    <row r="41" spans="1:8" x14ac:dyDescent="0.25">
      <c r="A41" s="8">
        <v>43236</v>
      </c>
      <c r="B41" s="4">
        <v>244</v>
      </c>
      <c r="C41" s="4">
        <v>248.520004</v>
      </c>
      <c r="D41" s="4">
        <v>242.509995</v>
      </c>
      <c r="E41" s="4">
        <v>246.009995</v>
      </c>
      <c r="F41" s="4">
        <v>245.225189</v>
      </c>
      <c r="G41" s="11">
        <v>13845700</v>
      </c>
      <c r="H41" s="3">
        <f>(NVDA[[#This Row],[Close]]-E40)/E40</f>
        <v>1.8325338152185365E-3</v>
      </c>
    </row>
    <row r="42" spans="1:8" x14ac:dyDescent="0.25">
      <c r="A42" s="8">
        <v>43237</v>
      </c>
      <c r="B42" s="4">
        <v>246.08000200000001</v>
      </c>
      <c r="C42" s="4">
        <v>251.5</v>
      </c>
      <c r="D42" s="4">
        <v>245.429993</v>
      </c>
      <c r="E42" s="4">
        <v>247.71000699999999</v>
      </c>
      <c r="F42" s="4">
        <v>246.91978499999999</v>
      </c>
      <c r="G42" s="11">
        <v>12994600</v>
      </c>
      <c r="H42" s="3">
        <f>(NVDA[[#This Row],[Close]]-E41)/E41</f>
        <v>6.9103371186198621E-3</v>
      </c>
    </row>
    <row r="43" spans="1:8" x14ac:dyDescent="0.25">
      <c r="A43" s="8">
        <v>43238</v>
      </c>
      <c r="B43" s="4">
        <v>249.80999800000001</v>
      </c>
      <c r="C43" s="4">
        <v>252.36999499999999</v>
      </c>
      <c r="D43" s="4">
        <v>245.740005</v>
      </c>
      <c r="E43" s="4">
        <v>245.94000199999999</v>
      </c>
      <c r="F43" s="4">
        <v>245.15541099999999</v>
      </c>
      <c r="G43" s="11">
        <v>12092900</v>
      </c>
      <c r="H43" s="3">
        <f>(NVDA[[#This Row],[Close]]-E42)/E42</f>
        <v>-7.1454723264369278E-3</v>
      </c>
    </row>
    <row r="44" spans="1:8" x14ac:dyDescent="0.25">
      <c r="A44" s="8">
        <v>43241</v>
      </c>
      <c r="B44" s="4">
        <v>249.88000500000001</v>
      </c>
      <c r="C44" s="4">
        <v>250.029999</v>
      </c>
      <c r="D44" s="4">
        <v>240.490005</v>
      </c>
      <c r="E44" s="4">
        <v>244.240005</v>
      </c>
      <c r="F44" s="4">
        <v>243.460846</v>
      </c>
      <c r="G44" s="11">
        <v>16015600</v>
      </c>
      <c r="H44" s="3">
        <f>(NVDA[[#This Row],[Close]]-E43)/E43</f>
        <v>-6.9122427672420536E-3</v>
      </c>
    </row>
    <row r="45" spans="1:8" x14ac:dyDescent="0.25">
      <c r="A45" s="8">
        <v>43242</v>
      </c>
      <c r="B45" s="4">
        <v>244.779999</v>
      </c>
      <c r="C45" s="4">
        <v>245.800003</v>
      </c>
      <c r="D45" s="4">
        <v>240.25</v>
      </c>
      <c r="E45" s="4">
        <v>242.699997</v>
      </c>
      <c r="F45" s="4">
        <v>241.92575099999999</v>
      </c>
      <c r="G45" s="11">
        <v>12956600</v>
      </c>
      <c r="H45" s="3">
        <f>(NVDA[[#This Row],[Close]]-E44)/E44</f>
        <v>-6.3053061270613728E-3</v>
      </c>
    </row>
    <row r="46" spans="1:8" x14ac:dyDescent="0.25">
      <c r="A46" s="8">
        <v>43243</v>
      </c>
      <c r="B46" s="4">
        <v>240.279999</v>
      </c>
      <c r="C46" s="4">
        <v>247.58999600000001</v>
      </c>
      <c r="D46" s="4">
        <v>240.25</v>
      </c>
      <c r="E46" s="4">
        <v>247.53999300000001</v>
      </c>
      <c r="F46" s="4">
        <v>246.902908</v>
      </c>
      <c r="G46" s="11">
        <v>11033700</v>
      </c>
      <c r="H46" s="3">
        <f>(NVDA[[#This Row],[Close]]-E45)/E45</f>
        <v>1.9942299381239849E-2</v>
      </c>
    </row>
    <row r="47" spans="1:8" x14ac:dyDescent="0.25">
      <c r="A47" s="8">
        <v>43244</v>
      </c>
      <c r="B47" s="4">
        <v>247.38999899999999</v>
      </c>
      <c r="C47" s="4">
        <v>249.39999399999999</v>
      </c>
      <c r="D47" s="4">
        <v>245.240005</v>
      </c>
      <c r="E47" s="4">
        <v>247.69000199999999</v>
      </c>
      <c r="F47" s="4">
        <v>247.05252100000001</v>
      </c>
      <c r="G47" s="11">
        <v>10934300</v>
      </c>
      <c r="H47" s="3">
        <f>(NVDA[[#This Row],[Close]]-E46)/E46</f>
        <v>6.0599904759625232E-4</v>
      </c>
    </row>
    <row r="48" spans="1:8" x14ac:dyDescent="0.25">
      <c r="A48" s="8">
        <v>43245</v>
      </c>
      <c r="B48" s="4">
        <v>248.199997</v>
      </c>
      <c r="C48" s="4">
        <v>249.94000199999999</v>
      </c>
      <c r="D48" s="4">
        <v>246.759995</v>
      </c>
      <c r="E48" s="4">
        <v>249.279999</v>
      </c>
      <c r="F48" s="4">
        <v>248.638428</v>
      </c>
      <c r="G48" s="11">
        <v>7302800</v>
      </c>
      <c r="H48" s="3">
        <f>(NVDA[[#This Row],[Close]]-E47)/E47</f>
        <v>6.4193023019153235E-3</v>
      </c>
    </row>
    <row r="49" spans="1:8" x14ac:dyDescent="0.25">
      <c r="A49" s="8">
        <v>43249</v>
      </c>
      <c r="B49" s="4">
        <v>248.550003</v>
      </c>
      <c r="C49" s="4">
        <v>251.33999600000001</v>
      </c>
      <c r="D49" s="4">
        <v>246.699997</v>
      </c>
      <c r="E49" s="4">
        <v>248.58999600000001</v>
      </c>
      <c r="F49" s="4">
        <v>247.950211</v>
      </c>
      <c r="G49" s="11">
        <v>8817100</v>
      </c>
      <c r="H49" s="3">
        <f>(NVDA[[#This Row],[Close]]-E48)/E48</f>
        <v>-2.7679838044286503E-3</v>
      </c>
    </row>
    <row r="50" spans="1:8" x14ac:dyDescent="0.25">
      <c r="A50" s="8">
        <v>43250</v>
      </c>
      <c r="B50" s="4">
        <v>249.949997</v>
      </c>
      <c r="C50" s="4">
        <v>253.33999600000001</v>
      </c>
      <c r="D50" s="4">
        <v>248.949997</v>
      </c>
      <c r="E50" s="4">
        <v>252.990005</v>
      </c>
      <c r="F50" s="4">
        <v>252.33888200000001</v>
      </c>
      <c r="G50" s="11">
        <v>9774900</v>
      </c>
      <c r="H50" s="3">
        <f>(NVDA[[#This Row],[Close]]-E49)/E49</f>
        <v>1.7699863513413398E-2</v>
      </c>
    </row>
    <row r="51" spans="1:8" x14ac:dyDescent="0.25">
      <c r="A51" s="8">
        <v>43251</v>
      </c>
      <c r="B51" s="4">
        <v>251.699997</v>
      </c>
      <c r="C51" s="4">
        <v>255.199997</v>
      </c>
      <c r="D51" s="4">
        <v>251.270004</v>
      </c>
      <c r="E51" s="4">
        <v>252.19000199999999</v>
      </c>
      <c r="F51" s="4">
        <v>251.540955</v>
      </c>
      <c r="G51" s="11">
        <v>12346700</v>
      </c>
      <c r="H51" s="3">
        <f>(NVDA[[#This Row],[Close]]-E50)/E50</f>
        <v>-3.16219211901278E-3</v>
      </c>
    </row>
    <row r="52" spans="1:8" x14ac:dyDescent="0.25">
      <c r="A52" s="8">
        <v>43252</v>
      </c>
      <c r="B52" s="4">
        <v>254</v>
      </c>
      <c r="C52" s="4">
        <v>257.86999500000002</v>
      </c>
      <c r="D52" s="4">
        <v>253.64999399999999</v>
      </c>
      <c r="E52" s="4">
        <v>257.61999500000002</v>
      </c>
      <c r="F52" s="4">
        <v>256.95697000000001</v>
      </c>
      <c r="G52" s="11">
        <v>10549200</v>
      </c>
      <c r="H52" s="3">
        <f>(NVDA[[#This Row],[Close]]-E51)/E51</f>
        <v>2.1531357139209763E-2</v>
      </c>
    </row>
    <row r="53" spans="1:8" x14ac:dyDescent="0.25">
      <c r="A53" s="8">
        <v>43255</v>
      </c>
      <c r="B53" s="4">
        <v>259</v>
      </c>
      <c r="C53" s="4">
        <v>265.73998999999998</v>
      </c>
      <c r="D53" s="4">
        <v>257.70001200000002</v>
      </c>
      <c r="E53" s="4">
        <v>264.85000600000001</v>
      </c>
      <c r="F53" s="4">
        <v>264.16836499999999</v>
      </c>
      <c r="G53" s="11">
        <v>16050600</v>
      </c>
      <c r="H53" s="3">
        <f>(NVDA[[#This Row],[Close]]-E52)/E52</f>
        <v>2.8064634501681399E-2</v>
      </c>
    </row>
    <row r="54" spans="1:8" x14ac:dyDescent="0.25">
      <c r="A54" s="8">
        <v>43256</v>
      </c>
      <c r="B54" s="4">
        <v>264.98001099999999</v>
      </c>
      <c r="C54" s="4">
        <v>266.58999599999999</v>
      </c>
      <c r="D54" s="4">
        <v>263.17001299999998</v>
      </c>
      <c r="E54" s="4">
        <v>265.07000699999998</v>
      </c>
      <c r="F54" s="4">
        <v>264.387787</v>
      </c>
      <c r="G54" s="11">
        <v>9792800</v>
      </c>
      <c r="H54" s="3">
        <f>(NVDA[[#This Row],[Close]]-E53)/E53</f>
        <v>8.3066262041152426E-4</v>
      </c>
    </row>
    <row r="55" spans="1:8" x14ac:dyDescent="0.25">
      <c r="A55" s="8">
        <v>43257</v>
      </c>
      <c r="B55" s="4">
        <v>261.42999300000002</v>
      </c>
      <c r="C55" s="4">
        <v>265.27999899999998</v>
      </c>
      <c r="D55" s="4">
        <v>260.76998900000001</v>
      </c>
      <c r="E55" s="4">
        <v>265.14999399999999</v>
      </c>
      <c r="F55" s="4">
        <v>264.46758999999997</v>
      </c>
      <c r="G55" s="11">
        <v>9283900</v>
      </c>
      <c r="H55" s="3">
        <f>(NVDA[[#This Row],[Close]]-E54)/E54</f>
        <v>3.0175801821296559E-4</v>
      </c>
    </row>
    <row r="56" spans="1:8" x14ac:dyDescent="0.25">
      <c r="A56" s="8">
        <v>43258</v>
      </c>
      <c r="B56" s="4">
        <v>265</v>
      </c>
      <c r="C56" s="4">
        <v>265.48001099999999</v>
      </c>
      <c r="D56" s="4">
        <v>259.25</v>
      </c>
      <c r="E56" s="4">
        <v>262.89999399999999</v>
      </c>
      <c r="F56" s="4">
        <v>262.223389</v>
      </c>
      <c r="G56" s="11">
        <v>9236200</v>
      </c>
      <c r="H56" s="3">
        <f>(NVDA[[#This Row],[Close]]-E55)/E55</f>
        <v>-8.485762967809082E-3</v>
      </c>
    </row>
    <row r="57" spans="1:8" x14ac:dyDescent="0.25">
      <c r="A57" s="8">
        <v>43259</v>
      </c>
      <c r="B57" s="4">
        <v>259.959991</v>
      </c>
      <c r="C57" s="4">
        <v>264</v>
      </c>
      <c r="D57" s="4">
        <v>259.20001200000002</v>
      </c>
      <c r="E57" s="4">
        <v>262.27999899999998</v>
      </c>
      <c r="F57" s="4">
        <v>261.60494999999997</v>
      </c>
      <c r="G57" s="11">
        <v>9011400</v>
      </c>
      <c r="H57" s="3">
        <f>(NVDA[[#This Row],[Close]]-E56)/E56</f>
        <v>-2.3582921801056306E-3</v>
      </c>
    </row>
    <row r="58" spans="1:8" x14ac:dyDescent="0.25">
      <c r="A58" s="8">
        <v>43262</v>
      </c>
      <c r="B58" s="4">
        <v>261.76998900000001</v>
      </c>
      <c r="C58" s="4">
        <v>263.45001200000002</v>
      </c>
      <c r="D58" s="4">
        <v>260.10000600000001</v>
      </c>
      <c r="E58" s="4">
        <v>260.61999500000002</v>
      </c>
      <c r="F58" s="4">
        <v>259.94924900000001</v>
      </c>
      <c r="G58" s="11">
        <v>6634300</v>
      </c>
      <c r="H58" s="3">
        <f>(NVDA[[#This Row],[Close]]-E57)/E57</f>
        <v>-6.3291291990585918E-3</v>
      </c>
    </row>
    <row r="59" spans="1:8" x14ac:dyDescent="0.25">
      <c r="A59" s="8">
        <v>43263</v>
      </c>
      <c r="B59" s="4">
        <v>261.69000199999999</v>
      </c>
      <c r="C59" s="4">
        <v>263.07000699999998</v>
      </c>
      <c r="D59" s="4">
        <v>259.66000400000001</v>
      </c>
      <c r="E59" s="4">
        <v>262.57998700000002</v>
      </c>
      <c r="F59" s="4">
        <v>261.90417500000001</v>
      </c>
      <c r="G59" s="11">
        <v>7979000</v>
      </c>
      <c r="H59" s="3">
        <f>(NVDA[[#This Row],[Close]]-E58)/E58</f>
        <v>7.5204974200080068E-3</v>
      </c>
    </row>
    <row r="60" spans="1:8" x14ac:dyDescent="0.25">
      <c r="A60" s="8">
        <v>43264</v>
      </c>
      <c r="B60" s="4">
        <v>262.64001500000001</v>
      </c>
      <c r="C60" s="4">
        <v>265.67001299999998</v>
      </c>
      <c r="D60" s="4">
        <v>262.02999899999998</v>
      </c>
      <c r="E60" s="4">
        <v>262.39999399999999</v>
      </c>
      <c r="F60" s="4">
        <v>261.72464000000002</v>
      </c>
      <c r="G60" s="11">
        <v>8455200</v>
      </c>
      <c r="H60" s="3">
        <f>(NVDA[[#This Row],[Close]]-E59)/E59</f>
        <v>-6.8547874518717412E-4</v>
      </c>
    </row>
    <row r="61" spans="1:8" x14ac:dyDescent="0.25">
      <c r="A61" s="8">
        <v>43265</v>
      </c>
      <c r="B61" s="4">
        <v>264.22000100000002</v>
      </c>
      <c r="C61" s="4">
        <v>269.20001200000002</v>
      </c>
      <c r="D61" s="4">
        <v>263.61999500000002</v>
      </c>
      <c r="E61" s="4">
        <v>266.91000400000001</v>
      </c>
      <c r="F61" s="4">
        <v>266.22305299999999</v>
      </c>
      <c r="G61" s="11">
        <v>10750400</v>
      </c>
      <c r="H61" s="3">
        <f>(NVDA[[#This Row],[Close]]-E60)/E60</f>
        <v>1.7187538502763923E-2</v>
      </c>
    </row>
    <row r="62" spans="1:8" x14ac:dyDescent="0.25">
      <c r="A62" s="8">
        <v>43266</v>
      </c>
      <c r="B62" s="4">
        <v>264.60000600000001</v>
      </c>
      <c r="C62" s="4">
        <v>267.48001099999999</v>
      </c>
      <c r="D62" s="4">
        <v>263.35000600000001</v>
      </c>
      <c r="E62" s="4">
        <v>265.26001000000002</v>
      </c>
      <c r="F62" s="4">
        <v>264.57733200000001</v>
      </c>
      <c r="G62" s="11">
        <v>10806500</v>
      </c>
      <c r="H62" s="3">
        <f>(NVDA[[#This Row],[Close]]-E61)/E61</f>
        <v>-6.1818364814830709E-3</v>
      </c>
    </row>
    <row r="63" spans="1:8" x14ac:dyDescent="0.25">
      <c r="A63" s="8">
        <v>43269</v>
      </c>
      <c r="B63" s="4">
        <v>263.48001099999999</v>
      </c>
      <c r="C63" s="4">
        <v>265.79998799999998</v>
      </c>
      <c r="D63" s="4">
        <v>262.38000499999998</v>
      </c>
      <c r="E63" s="4">
        <v>265.08999599999999</v>
      </c>
      <c r="F63" s="4">
        <v>264.40774499999998</v>
      </c>
      <c r="G63" s="11">
        <v>8906700</v>
      </c>
      <c r="H63" s="3">
        <f>(NVDA[[#This Row],[Close]]-E62)/E62</f>
        <v>-6.4093339964828246E-4</v>
      </c>
    </row>
    <row r="64" spans="1:8" x14ac:dyDescent="0.25">
      <c r="A64" s="8">
        <v>43270</v>
      </c>
      <c r="B64" s="4">
        <v>260.92001299999998</v>
      </c>
      <c r="C64" s="4">
        <v>263.64001500000001</v>
      </c>
      <c r="D64" s="4">
        <v>255.020004</v>
      </c>
      <c r="E64" s="4">
        <v>260.17001299999998</v>
      </c>
      <c r="F64" s="4">
        <v>259.500427</v>
      </c>
      <c r="G64" s="11">
        <v>14873300</v>
      </c>
      <c r="H64" s="3">
        <f>(NVDA[[#This Row],[Close]]-E63)/E63</f>
        <v>-1.8559670580703475E-2</v>
      </c>
    </row>
    <row r="65" spans="1:8" x14ac:dyDescent="0.25">
      <c r="A65" s="8">
        <v>43271</v>
      </c>
      <c r="B65" s="4">
        <v>261.82998700000002</v>
      </c>
      <c r="C65" s="4">
        <v>264.45001200000002</v>
      </c>
      <c r="D65" s="4">
        <v>260.27999899999998</v>
      </c>
      <c r="E65" s="4">
        <v>262.30999800000001</v>
      </c>
      <c r="F65" s="4">
        <v>261.63485700000001</v>
      </c>
      <c r="G65" s="11">
        <v>9244500</v>
      </c>
      <c r="H65" s="3">
        <f>(NVDA[[#This Row],[Close]]-E64)/E64</f>
        <v>8.2253330248325904E-3</v>
      </c>
    </row>
    <row r="66" spans="1:8" x14ac:dyDescent="0.25">
      <c r="A66" s="8">
        <v>43272</v>
      </c>
      <c r="B66" s="4">
        <v>263.60000600000001</v>
      </c>
      <c r="C66" s="4">
        <v>264.33999599999999</v>
      </c>
      <c r="D66" s="4">
        <v>256.79998799999998</v>
      </c>
      <c r="E66" s="4">
        <v>257.10998499999999</v>
      </c>
      <c r="F66" s="4">
        <v>256.44827299999997</v>
      </c>
      <c r="G66" s="11">
        <v>8987900</v>
      </c>
      <c r="H66" s="3">
        <f>(NVDA[[#This Row],[Close]]-E65)/E65</f>
        <v>-1.9823922228080732E-2</v>
      </c>
    </row>
    <row r="67" spans="1:8" x14ac:dyDescent="0.25">
      <c r="A67" s="8">
        <v>43273</v>
      </c>
      <c r="B67" s="4">
        <v>257.95001200000002</v>
      </c>
      <c r="C67" s="4">
        <v>258.48998999999998</v>
      </c>
      <c r="D67" s="4">
        <v>250.33000200000001</v>
      </c>
      <c r="E67" s="4">
        <v>250.949997</v>
      </c>
      <c r="F67" s="4">
        <v>250.30413799999999</v>
      </c>
      <c r="G67" s="11">
        <v>10854000</v>
      </c>
      <c r="H67" s="3">
        <f>(NVDA[[#This Row],[Close]]-E66)/E66</f>
        <v>-2.3958571659517612E-2</v>
      </c>
    </row>
    <row r="68" spans="1:8" x14ac:dyDescent="0.25">
      <c r="A68" s="8">
        <v>43276</v>
      </c>
      <c r="B68" s="4">
        <v>246.64999399999999</v>
      </c>
      <c r="C68" s="4">
        <v>246.800003</v>
      </c>
      <c r="D68" s="4">
        <v>235.53999300000001</v>
      </c>
      <c r="E68" s="4">
        <v>239.11999499999999</v>
      </c>
      <c r="F68" s="4">
        <v>238.50457800000001</v>
      </c>
      <c r="G68" s="11">
        <v>16645400</v>
      </c>
      <c r="H68" s="3">
        <f>(NVDA[[#This Row],[Close]]-E67)/E67</f>
        <v>-4.7140873247350577E-2</v>
      </c>
    </row>
    <row r="69" spans="1:8" x14ac:dyDescent="0.25">
      <c r="A69" s="8">
        <v>43277</v>
      </c>
      <c r="B69" s="4">
        <v>243.699997</v>
      </c>
      <c r="C69" s="4">
        <v>245.64999399999999</v>
      </c>
      <c r="D69" s="4">
        <v>239.91000399999999</v>
      </c>
      <c r="E69" s="4">
        <v>241.990005</v>
      </c>
      <c r="F69" s="4">
        <v>241.36721800000001</v>
      </c>
      <c r="G69" s="11">
        <v>11972100</v>
      </c>
      <c r="H69" s="3">
        <f>(NVDA[[#This Row],[Close]]-E68)/E68</f>
        <v>1.2002383991351321E-2</v>
      </c>
    </row>
    <row r="70" spans="1:8" x14ac:dyDescent="0.25">
      <c r="A70" s="8">
        <v>43278</v>
      </c>
      <c r="B70" s="4">
        <v>243.75</v>
      </c>
      <c r="C70" s="4">
        <v>246.429993</v>
      </c>
      <c r="D70" s="4">
        <v>235.5</v>
      </c>
      <c r="E70" s="4">
        <v>235.720001</v>
      </c>
      <c r="F70" s="4">
        <v>235.113327</v>
      </c>
      <c r="G70" s="11">
        <v>11347300</v>
      </c>
      <c r="H70" s="3">
        <f>(NVDA[[#This Row],[Close]]-E69)/E69</f>
        <v>-2.5910177571176959E-2</v>
      </c>
    </row>
    <row r="71" spans="1:8" x14ac:dyDescent="0.25">
      <c r="A71" s="8">
        <v>43279</v>
      </c>
      <c r="B71" s="4">
        <v>235.320007</v>
      </c>
      <c r="C71" s="4">
        <v>241.33999600000001</v>
      </c>
      <c r="D71" s="4">
        <v>235.009995</v>
      </c>
      <c r="E71" s="4">
        <v>240.86000100000001</v>
      </c>
      <c r="F71" s="4">
        <v>240.24011200000001</v>
      </c>
      <c r="G71" s="11">
        <v>8450300</v>
      </c>
      <c r="H71" s="3">
        <f>(NVDA[[#This Row],[Close]]-E70)/E70</f>
        <v>2.180553189459733E-2</v>
      </c>
    </row>
    <row r="72" spans="1:8" x14ac:dyDescent="0.25">
      <c r="A72" s="8">
        <v>43280</v>
      </c>
      <c r="B72" s="4">
        <v>243.490005</v>
      </c>
      <c r="C72" s="4">
        <v>244</v>
      </c>
      <c r="D72" s="4">
        <v>236.85000600000001</v>
      </c>
      <c r="E72" s="4">
        <v>236.89999399999999</v>
      </c>
      <c r="F72" s="4">
        <v>236.29029800000001</v>
      </c>
      <c r="G72" s="11">
        <v>9807500</v>
      </c>
      <c r="H72" s="3">
        <f>(NVDA[[#This Row],[Close]]-E71)/E71</f>
        <v>-1.6441115102378574E-2</v>
      </c>
    </row>
    <row r="73" spans="1:8" x14ac:dyDescent="0.25">
      <c r="A73" s="8">
        <v>43283</v>
      </c>
      <c r="B73" s="4">
        <v>234.08999600000001</v>
      </c>
      <c r="C73" s="4">
        <v>242.38999899999999</v>
      </c>
      <c r="D73" s="4">
        <v>233.259995</v>
      </c>
      <c r="E73" s="4">
        <v>242.240005</v>
      </c>
      <c r="F73" s="4">
        <v>241.61656199999999</v>
      </c>
      <c r="G73" s="11">
        <v>8939300</v>
      </c>
      <c r="H73" s="3">
        <f>(NVDA[[#This Row],[Close]]-E72)/E72</f>
        <v>2.2541203610161358E-2</v>
      </c>
    </row>
    <row r="74" spans="1:8" x14ac:dyDescent="0.25">
      <c r="A74" s="8">
        <v>43284</v>
      </c>
      <c r="B74" s="4">
        <v>243.63999899999999</v>
      </c>
      <c r="C74" s="4">
        <v>243.88000500000001</v>
      </c>
      <c r="D74" s="4">
        <v>236.5</v>
      </c>
      <c r="E74" s="4">
        <v>236.83999600000001</v>
      </c>
      <c r="F74" s="4">
        <v>236.23045300000001</v>
      </c>
      <c r="G74" s="11">
        <v>5568300</v>
      </c>
      <c r="H74" s="3">
        <f>(NVDA[[#This Row],[Close]]-E73)/E73</f>
        <v>-2.2291978568940267E-2</v>
      </c>
    </row>
    <row r="75" spans="1:8" x14ac:dyDescent="0.25">
      <c r="A75" s="8">
        <v>43286</v>
      </c>
      <c r="B75" s="4">
        <v>239.070007</v>
      </c>
      <c r="C75" s="4">
        <v>242.929993</v>
      </c>
      <c r="D75" s="4">
        <v>237.5</v>
      </c>
      <c r="E75" s="4">
        <v>242.729996</v>
      </c>
      <c r="F75" s="4">
        <v>242.10528600000001</v>
      </c>
      <c r="G75" s="11">
        <v>7655400</v>
      </c>
      <c r="H75" s="3">
        <f>(NVDA[[#This Row],[Close]]-E74)/E74</f>
        <v>2.4869110367659295E-2</v>
      </c>
    </row>
    <row r="76" spans="1:8" x14ac:dyDescent="0.25">
      <c r="A76" s="8">
        <v>43287</v>
      </c>
      <c r="B76" s="4">
        <v>241.740005</v>
      </c>
      <c r="C76" s="4">
        <v>247.66999799999999</v>
      </c>
      <c r="D76" s="4">
        <v>240.88000500000001</v>
      </c>
      <c r="E76" s="4">
        <v>247.33000200000001</v>
      </c>
      <c r="F76" s="4">
        <v>246.693466</v>
      </c>
      <c r="G76" s="11">
        <v>7408800</v>
      </c>
      <c r="H76" s="3">
        <f>(NVDA[[#This Row],[Close]]-E75)/E75</f>
        <v>1.8951122958861696E-2</v>
      </c>
    </row>
    <row r="77" spans="1:8" x14ac:dyDescent="0.25">
      <c r="A77" s="8">
        <v>43290</v>
      </c>
      <c r="B77" s="4">
        <v>250.33000200000001</v>
      </c>
      <c r="C77" s="4">
        <v>250.720001</v>
      </c>
      <c r="D77" s="4">
        <v>246.070007</v>
      </c>
      <c r="E77" s="4">
        <v>249.25</v>
      </c>
      <c r="F77" s="4">
        <v>248.60850500000001</v>
      </c>
      <c r="G77" s="11">
        <v>7597000</v>
      </c>
      <c r="H77" s="3">
        <f>(NVDA[[#This Row],[Close]]-E76)/E76</f>
        <v>7.7628997067650226E-3</v>
      </c>
    </row>
    <row r="78" spans="1:8" x14ac:dyDescent="0.25">
      <c r="A78" s="8">
        <v>43291</v>
      </c>
      <c r="B78" s="4">
        <v>249.75</v>
      </c>
      <c r="C78" s="4">
        <v>254.13999899999999</v>
      </c>
      <c r="D78" s="4">
        <v>248.11999499999999</v>
      </c>
      <c r="E78" s="4">
        <v>253.25</v>
      </c>
      <c r="F78" s="4">
        <v>252.598221</v>
      </c>
      <c r="G78" s="11">
        <v>9000400</v>
      </c>
      <c r="H78" s="3">
        <f>(NVDA[[#This Row],[Close]]-E77)/E77</f>
        <v>1.60481444332999E-2</v>
      </c>
    </row>
    <row r="79" spans="1:8" x14ac:dyDescent="0.25">
      <c r="A79" s="8">
        <v>43292</v>
      </c>
      <c r="B79" s="4">
        <v>249.5</v>
      </c>
      <c r="C79" s="4">
        <v>250.89999399999999</v>
      </c>
      <c r="D79" s="4">
        <v>247.10000600000001</v>
      </c>
      <c r="E79" s="4">
        <v>247.529999</v>
      </c>
      <c r="F79" s="4">
        <v>246.89292900000001</v>
      </c>
      <c r="G79" s="11">
        <v>9187700</v>
      </c>
      <c r="H79" s="3">
        <f>(NVDA[[#This Row],[Close]]-E78)/E78</f>
        <v>-2.2586381046396826E-2</v>
      </c>
    </row>
    <row r="80" spans="1:8" x14ac:dyDescent="0.25">
      <c r="A80" s="8">
        <v>43293</v>
      </c>
      <c r="B80" s="4">
        <v>249.36000100000001</v>
      </c>
      <c r="C80" s="4">
        <v>253.16999799999999</v>
      </c>
      <c r="D80" s="4">
        <v>248.96000699999999</v>
      </c>
      <c r="E80" s="4">
        <v>251.229996</v>
      </c>
      <c r="F80" s="4">
        <v>250.583405</v>
      </c>
      <c r="G80" s="11">
        <v>8637700</v>
      </c>
      <c r="H80" s="3">
        <f>(NVDA[[#This Row],[Close]]-E79)/E79</f>
        <v>1.494767104976232E-2</v>
      </c>
    </row>
    <row r="81" spans="1:8" x14ac:dyDescent="0.25">
      <c r="A81" s="8">
        <v>43294</v>
      </c>
      <c r="B81" s="4">
        <v>251.979996</v>
      </c>
      <c r="C81" s="4">
        <v>251.979996</v>
      </c>
      <c r="D81" s="4">
        <v>247.61999499999999</v>
      </c>
      <c r="E81" s="4">
        <v>249.320007</v>
      </c>
      <c r="F81" s="4">
        <v>248.67834500000001</v>
      </c>
      <c r="G81" s="11">
        <v>6174700</v>
      </c>
      <c r="H81" s="3">
        <f>(NVDA[[#This Row],[Close]]-E80)/E80</f>
        <v>-7.6025515679266102E-3</v>
      </c>
    </row>
    <row r="82" spans="1:8" x14ac:dyDescent="0.25">
      <c r="A82" s="8">
        <v>43297</v>
      </c>
      <c r="B82" s="4">
        <v>248.199997</v>
      </c>
      <c r="C82" s="4">
        <v>250.33999600000001</v>
      </c>
      <c r="D82" s="4">
        <v>247.699997</v>
      </c>
      <c r="E82" s="4">
        <v>248.199997</v>
      </c>
      <c r="F82" s="4">
        <v>247.56120300000001</v>
      </c>
      <c r="G82" s="11">
        <v>4925900</v>
      </c>
      <c r="H82" s="3">
        <f>(NVDA[[#This Row],[Close]]-E81)/E81</f>
        <v>-4.492258818202294E-3</v>
      </c>
    </row>
    <row r="83" spans="1:8" x14ac:dyDescent="0.25">
      <c r="A83" s="8">
        <v>43298</v>
      </c>
      <c r="B83" s="4">
        <v>246.21000699999999</v>
      </c>
      <c r="C83" s="4">
        <v>254.300003</v>
      </c>
      <c r="D83" s="4">
        <v>245.179993</v>
      </c>
      <c r="E83" s="4">
        <v>253.69000199999999</v>
      </c>
      <c r="F83" s="4">
        <v>253.03707900000001</v>
      </c>
      <c r="G83" s="11">
        <v>9053400</v>
      </c>
      <c r="H83" s="3">
        <f>(NVDA[[#This Row],[Close]]-E82)/E82</f>
        <v>2.2119279074769675E-2</v>
      </c>
    </row>
    <row r="84" spans="1:8" x14ac:dyDescent="0.25">
      <c r="A84" s="8">
        <v>43299</v>
      </c>
      <c r="B84" s="4">
        <v>253.38999899999999</v>
      </c>
      <c r="C84" s="4">
        <v>253.949997</v>
      </c>
      <c r="D84" s="4">
        <v>249.63999899999999</v>
      </c>
      <c r="E84" s="4">
        <v>251.699997</v>
      </c>
      <c r="F84" s="4">
        <v>251.0522</v>
      </c>
      <c r="G84" s="11">
        <v>6941000</v>
      </c>
      <c r="H84" s="3">
        <f>(NVDA[[#This Row],[Close]]-E83)/E83</f>
        <v>-7.8442389700481632E-3</v>
      </c>
    </row>
    <row r="85" spans="1:8" x14ac:dyDescent="0.25">
      <c r="A85" s="8">
        <v>43300</v>
      </c>
      <c r="B85" s="4">
        <v>250.94000199999999</v>
      </c>
      <c r="C85" s="4">
        <v>253.38999899999999</v>
      </c>
      <c r="D85" s="4">
        <v>250.33000200000001</v>
      </c>
      <c r="E85" s="4">
        <v>252.029999</v>
      </c>
      <c r="F85" s="4">
        <v>251.38136299999999</v>
      </c>
      <c r="G85" s="11">
        <v>5893800</v>
      </c>
      <c r="H85" s="3">
        <f>(NVDA[[#This Row],[Close]]-E84)/E84</f>
        <v>1.311092586147339E-3</v>
      </c>
    </row>
    <row r="86" spans="1:8" x14ac:dyDescent="0.25">
      <c r="A86" s="8">
        <v>43301</v>
      </c>
      <c r="B86" s="4">
        <v>251.929993</v>
      </c>
      <c r="C86" s="4">
        <v>253.5</v>
      </c>
      <c r="D86" s="4">
        <v>250.449997</v>
      </c>
      <c r="E86" s="4">
        <v>250.88999899999999</v>
      </c>
      <c r="F86" s="4">
        <v>250.244293</v>
      </c>
      <c r="G86" s="11">
        <v>5558800</v>
      </c>
      <c r="H86" s="3">
        <f>(NVDA[[#This Row],[Close]]-E85)/E85</f>
        <v>-4.523271057109415E-3</v>
      </c>
    </row>
    <row r="87" spans="1:8" x14ac:dyDescent="0.25">
      <c r="A87" s="8">
        <v>43304</v>
      </c>
      <c r="B87" s="4">
        <v>249.820007</v>
      </c>
      <c r="C87" s="4">
        <v>249.88999899999999</v>
      </c>
      <c r="D87" s="4">
        <v>243.279999</v>
      </c>
      <c r="E87" s="4">
        <v>249.41000399999999</v>
      </c>
      <c r="F87" s="4">
        <v>248.76809700000001</v>
      </c>
      <c r="G87" s="11">
        <v>7539600</v>
      </c>
      <c r="H87" s="3">
        <f>(NVDA[[#This Row],[Close]]-E86)/E86</f>
        <v>-5.8989796560204952E-3</v>
      </c>
    </row>
    <row r="88" spans="1:8" x14ac:dyDescent="0.25">
      <c r="A88" s="8">
        <v>43305</v>
      </c>
      <c r="B88" s="4">
        <v>251.35000600000001</v>
      </c>
      <c r="C88" s="4">
        <v>254.85000600000001</v>
      </c>
      <c r="D88" s="4">
        <v>248</v>
      </c>
      <c r="E88" s="4">
        <v>248.71000699999999</v>
      </c>
      <c r="F88" s="4">
        <v>248.06991600000001</v>
      </c>
      <c r="G88" s="11">
        <v>8865500</v>
      </c>
      <c r="H88" s="3">
        <f>(NVDA[[#This Row],[Close]]-E87)/E87</f>
        <v>-2.8066115583719577E-3</v>
      </c>
    </row>
    <row r="89" spans="1:8" x14ac:dyDescent="0.25">
      <c r="A89" s="8">
        <v>43306</v>
      </c>
      <c r="B89" s="4">
        <v>249.08999600000001</v>
      </c>
      <c r="C89" s="4">
        <v>252.38000500000001</v>
      </c>
      <c r="D89" s="4">
        <v>246.75</v>
      </c>
      <c r="E89" s="4">
        <v>251.86999499999999</v>
      </c>
      <c r="F89" s="4">
        <v>251.22177099999999</v>
      </c>
      <c r="G89" s="11">
        <v>7977800</v>
      </c>
      <c r="H89" s="3">
        <f>(NVDA[[#This Row],[Close]]-E88)/E88</f>
        <v>1.2705512086612577E-2</v>
      </c>
    </row>
    <row r="90" spans="1:8" x14ac:dyDescent="0.25">
      <c r="A90" s="8">
        <v>43307</v>
      </c>
      <c r="B90" s="4">
        <v>251.05999800000001</v>
      </c>
      <c r="C90" s="4">
        <v>256.32998700000002</v>
      </c>
      <c r="D90" s="4">
        <v>250.38000500000001</v>
      </c>
      <c r="E90" s="4">
        <v>254.83999600000001</v>
      </c>
      <c r="F90" s="4">
        <v>254.184113</v>
      </c>
      <c r="G90" s="11">
        <v>8128100</v>
      </c>
      <c r="H90" s="3">
        <f>(NVDA[[#This Row],[Close]]-E89)/E89</f>
        <v>1.1791801560166088E-2</v>
      </c>
    </row>
    <row r="91" spans="1:8" x14ac:dyDescent="0.25">
      <c r="A91" s="8">
        <v>43308</v>
      </c>
      <c r="B91" s="4">
        <v>256.32000699999998</v>
      </c>
      <c r="C91" s="4">
        <v>256.60000600000001</v>
      </c>
      <c r="D91" s="4">
        <v>249.83999600000001</v>
      </c>
      <c r="E91" s="4">
        <v>252.020004</v>
      </c>
      <c r="F91" s="4">
        <v>251.371399</v>
      </c>
      <c r="G91" s="11">
        <v>7385500</v>
      </c>
      <c r="H91" s="3">
        <f>(NVDA[[#This Row],[Close]]-E90)/E90</f>
        <v>-1.1065735537054448E-2</v>
      </c>
    </row>
    <row r="92" spans="1:8" x14ac:dyDescent="0.25">
      <c r="A92" s="8">
        <v>43311</v>
      </c>
      <c r="B92" s="4">
        <v>252.58999600000001</v>
      </c>
      <c r="C92" s="4">
        <v>252.83000200000001</v>
      </c>
      <c r="D92" s="4">
        <v>242.720001</v>
      </c>
      <c r="E92" s="4">
        <v>244.13000500000001</v>
      </c>
      <c r="F92" s="4">
        <v>243.50169399999999</v>
      </c>
      <c r="G92" s="11">
        <v>8508500</v>
      </c>
      <c r="H92" s="3">
        <f>(NVDA[[#This Row],[Close]]-E91)/E91</f>
        <v>-3.1307034659042339E-2</v>
      </c>
    </row>
    <row r="93" spans="1:8" x14ac:dyDescent="0.25">
      <c r="A93" s="8">
        <v>43312</v>
      </c>
      <c r="B93" s="4">
        <v>243.71000699999999</v>
      </c>
      <c r="C93" s="4">
        <v>247.88000500000001</v>
      </c>
      <c r="D93" s="4">
        <v>242.13999899999999</v>
      </c>
      <c r="E93" s="4">
        <v>244.86000100000001</v>
      </c>
      <c r="F93" s="4">
        <v>244.22981300000001</v>
      </c>
      <c r="G93" s="11">
        <v>7099700</v>
      </c>
      <c r="H93" s="3">
        <f>(NVDA[[#This Row],[Close]]-E92)/E92</f>
        <v>2.990193687990134E-3</v>
      </c>
    </row>
    <row r="94" spans="1:8" x14ac:dyDescent="0.25">
      <c r="A94" s="8">
        <v>43313</v>
      </c>
      <c r="B94" s="4">
        <v>246.13000500000001</v>
      </c>
      <c r="C94" s="4">
        <v>248.36000100000001</v>
      </c>
      <c r="D94" s="4">
        <v>243.88999899999999</v>
      </c>
      <c r="E94" s="4">
        <v>246.470001</v>
      </c>
      <c r="F94" s="4">
        <v>245.83566300000001</v>
      </c>
      <c r="G94" s="11">
        <v>7088900</v>
      </c>
      <c r="H94" s="3">
        <f>(NVDA[[#This Row],[Close]]-E93)/E93</f>
        <v>6.5751857936159411E-3</v>
      </c>
    </row>
    <row r="95" spans="1:8" x14ac:dyDescent="0.25">
      <c r="A95" s="8">
        <v>43314</v>
      </c>
      <c r="B95" s="4">
        <v>243.58999600000001</v>
      </c>
      <c r="C95" s="4">
        <v>250.779999</v>
      </c>
      <c r="D95" s="4">
        <v>241.21000699999999</v>
      </c>
      <c r="E95" s="4">
        <v>250.61999499999999</v>
      </c>
      <c r="F95" s="4">
        <v>249.974976</v>
      </c>
      <c r="G95" s="11">
        <v>6741700</v>
      </c>
      <c r="H95" s="3">
        <f>(NVDA[[#This Row],[Close]]-E94)/E94</f>
        <v>1.6837724604058375E-2</v>
      </c>
    </row>
    <row r="96" spans="1:8" x14ac:dyDescent="0.25">
      <c r="A96" s="8">
        <v>43315</v>
      </c>
      <c r="B96" s="4">
        <v>251.61000100000001</v>
      </c>
      <c r="C96" s="4">
        <v>253.05999800000001</v>
      </c>
      <c r="D96" s="4">
        <v>250.929993</v>
      </c>
      <c r="E96" s="4">
        <v>252.10000600000001</v>
      </c>
      <c r="F96" s="4">
        <v>251.45117200000001</v>
      </c>
      <c r="G96" s="11">
        <v>5357200</v>
      </c>
      <c r="H96" s="3">
        <f>(NVDA[[#This Row],[Close]]-E95)/E95</f>
        <v>5.9053987292594871E-3</v>
      </c>
    </row>
    <row r="97" spans="1:8" x14ac:dyDescent="0.25">
      <c r="A97" s="8">
        <v>43318</v>
      </c>
      <c r="B97" s="4">
        <v>251.58999600000001</v>
      </c>
      <c r="C97" s="4">
        <v>254.16999799999999</v>
      </c>
      <c r="D97" s="4">
        <v>249.71000699999999</v>
      </c>
      <c r="E97" s="4">
        <v>254.029999</v>
      </c>
      <c r="F97" s="4">
        <v>253.376205</v>
      </c>
      <c r="G97" s="11">
        <v>5187700</v>
      </c>
      <c r="H97" s="3">
        <f>(NVDA[[#This Row],[Close]]-E96)/E96</f>
        <v>7.6556642366759639E-3</v>
      </c>
    </row>
    <row r="98" spans="1:8" x14ac:dyDescent="0.25">
      <c r="A98" s="8">
        <v>43319</v>
      </c>
      <c r="B98" s="4">
        <v>256</v>
      </c>
      <c r="C98" s="4">
        <v>257.70001200000002</v>
      </c>
      <c r="D98" s="4">
        <v>254.91999799999999</v>
      </c>
      <c r="E98" s="4">
        <v>256.95001200000002</v>
      </c>
      <c r="F98" s="4">
        <v>256.28869600000002</v>
      </c>
      <c r="G98" s="11">
        <v>6453300</v>
      </c>
      <c r="H98" s="3">
        <f>(NVDA[[#This Row],[Close]]-E97)/E97</f>
        <v>1.1494756570069551E-2</v>
      </c>
    </row>
    <row r="99" spans="1:8" x14ac:dyDescent="0.25">
      <c r="A99" s="8">
        <v>43320</v>
      </c>
      <c r="B99" s="4">
        <v>257</v>
      </c>
      <c r="C99" s="4">
        <v>260.23998999999998</v>
      </c>
      <c r="D99" s="4">
        <v>255.58999600000001</v>
      </c>
      <c r="E99" s="4">
        <v>258.42001299999998</v>
      </c>
      <c r="F99" s="4">
        <v>257.75494400000002</v>
      </c>
      <c r="G99" s="11">
        <v>6552500</v>
      </c>
      <c r="H99" s="3">
        <f>(NVDA[[#This Row],[Close]]-E98)/E98</f>
        <v>5.7209610093342505E-3</v>
      </c>
    </row>
    <row r="100" spans="1:8" x14ac:dyDescent="0.25">
      <c r="A100" s="8">
        <v>43321</v>
      </c>
      <c r="B100" s="4">
        <v>259.14001500000001</v>
      </c>
      <c r="C100" s="4">
        <v>259.25</v>
      </c>
      <c r="D100" s="4">
        <v>256.14999399999999</v>
      </c>
      <c r="E100" s="4">
        <v>256.459991</v>
      </c>
      <c r="F100" s="4">
        <v>255.79994199999999</v>
      </c>
      <c r="G100" s="11">
        <v>5099000</v>
      </c>
      <c r="H100" s="3">
        <f>(NVDA[[#This Row],[Close]]-E99)/E99</f>
        <v>-7.58463703041444E-3</v>
      </c>
    </row>
    <row r="101" spans="1:8" x14ac:dyDescent="0.25">
      <c r="A101" s="8">
        <v>43322</v>
      </c>
      <c r="B101" s="4">
        <v>253.14999399999999</v>
      </c>
      <c r="C101" s="4">
        <v>256.10000600000001</v>
      </c>
      <c r="D101" s="4">
        <v>252.699997</v>
      </c>
      <c r="E101" s="4">
        <v>254.78999300000001</v>
      </c>
      <c r="F101" s="4">
        <v>254.13424699999999</v>
      </c>
      <c r="G101" s="11">
        <v>6409900</v>
      </c>
      <c r="H101" s="3">
        <f>(NVDA[[#This Row],[Close]]-E100)/E100</f>
        <v>-6.5117291531059619E-3</v>
      </c>
    </row>
    <row r="102" spans="1:8" x14ac:dyDescent="0.25">
      <c r="A102" s="8">
        <v>43325</v>
      </c>
      <c r="B102" s="4">
        <v>255.13999899999999</v>
      </c>
      <c r="C102" s="4">
        <v>261</v>
      </c>
      <c r="D102" s="4">
        <v>255.070007</v>
      </c>
      <c r="E102" s="4">
        <v>256.11999500000002</v>
      </c>
      <c r="F102" s="4">
        <v>255.460815</v>
      </c>
      <c r="G102" s="11">
        <v>9345600</v>
      </c>
      <c r="H102" s="3">
        <f>(NVDA[[#This Row],[Close]]-E101)/E101</f>
        <v>5.2199930787705916E-3</v>
      </c>
    </row>
    <row r="103" spans="1:8" x14ac:dyDescent="0.25">
      <c r="A103" s="8">
        <v>43326</v>
      </c>
      <c r="B103" s="4">
        <v>260.38000499999998</v>
      </c>
      <c r="C103" s="4">
        <v>262</v>
      </c>
      <c r="D103" s="4">
        <v>257.01998900000001</v>
      </c>
      <c r="E103" s="4">
        <v>261.42999300000002</v>
      </c>
      <c r="F103" s="4">
        <v>260.75714099999999</v>
      </c>
      <c r="G103" s="11">
        <v>11655500</v>
      </c>
      <c r="H103" s="3">
        <f>(NVDA[[#This Row],[Close]]-E102)/E102</f>
        <v>2.0732461750985146E-2</v>
      </c>
    </row>
    <row r="104" spans="1:8" x14ac:dyDescent="0.25">
      <c r="A104" s="8">
        <v>43327</v>
      </c>
      <c r="B104" s="4">
        <v>262.26998900000001</v>
      </c>
      <c r="C104" s="4">
        <v>263.64001500000001</v>
      </c>
      <c r="D104" s="4">
        <v>255.89999399999999</v>
      </c>
      <c r="E104" s="4">
        <v>259.07998700000002</v>
      </c>
      <c r="F104" s="4">
        <v>258.41317700000002</v>
      </c>
      <c r="G104" s="11">
        <v>14778400</v>
      </c>
      <c r="H104" s="3">
        <f>(NVDA[[#This Row],[Close]]-E103)/E103</f>
        <v>-8.9890451092962675E-3</v>
      </c>
    </row>
    <row r="105" spans="1:8" x14ac:dyDescent="0.25">
      <c r="A105" s="8">
        <v>43328</v>
      </c>
      <c r="B105" s="4">
        <v>261.89999399999999</v>
      </c>
      <c r="C105" s="4">
        <v>262</v>
      </c>
      <c r="D105" s="4">
        <v>255.009995</v>
      </c>
      <c r="E105" s="4">
        <v>257.44000199999999</v>
      </c>
      <c r="F105" s="4">
        <v>256.777466</v>
      </c>
      <c r="G105" s="11">
        <v>20031500</v>
      </c>
      <c r="H105" s="3">
        <f>(NVDA[[#This Row],[Close]]-E104)/E104</f>
        <v>-6.330033512005789E-3</v>
      </c>
    </row>
    <row r="106" spans="1:8" x14ac:dyDescent="0.25">
      <c r="A106" s="8">
        <v>43329</v>
      </c>
      <c r="B106" s="4">
        <v>252.94000199999999</v>
      </c>
      <c r="C106" s="4">
        <v>252.970001</v>
      </c>
      <c r="D106" s="4">
        <v>243.729996</v>
      </c>
      <c r="E106" s="4">
        <v>244.820007</v>
      </c>
      <c r="F106" s="4">
        <v>244.189911</v>
      </c>
      <c r="G106" s="11">
        <v>28579700</v>
      </c>
      <c r="H106" s="3">
        <f>(NVDA[[#This Row],[Close]]-E105)/E105</f>
        <v>-4.9021111334515872E-2</v>
      </c>
    </row>
    <row r="107" spans="1:8" x14ac:dyDescent="0.25">
      <c r="A107" s="8">
        <v>43332</v>
      </c>
      <c r="B107" s="4">
        <v>243.179993</v>
      </c>
      <c r="C107" s="4">
        <v>253.199997</v>
      </c>
      <c r="D107" s="4">
        <v>238.720001</v>
      </c>
      <c r="E107" s="4">
        <v>247.83999600000001</v>
      </c>
      <c r="F107" s="4">
        <v>247.202133</v>
      </c>
      <c r="G107" s="11">
        <v>21359700</v>
      </c>
      <c r="H107" s="3">
        <f>(NVDA[[#This Row],[Close]]-E106)/E106</f>
        <v>1.2335548213590279E-2</v>
      </c>
    </row>
    <row r="108" spans="1:8" x14ac:dyDescent="0.25">
      <c r="A108" s="8">
        <v>43333</v>
      </c>
      <c r="B108" s="4">
        <v>248.5</v>
      </c>
      <c r="C108" s="4">
        <v>253.5</v>
      </c>
      <c r="D108" s="4">
        <v>247.699997</v>
      </c>
      <c r="E108" s="4">
        <v>253.320007</v>
      </c>
      <c r="F108" s="4">
        <v>252.66804500000001</v>
      </c>
      <c r="G108" s="11">
        <v>16849700</v>
      </c>
      <c r="H108" s="3">
        <f>(NVDA[[#This Row],[Close]]-E107)/E107</f>
        <v>2.2111084120579109E-2</v>
      </c>
    </row>
    <row r="109" spans="1:8" x14ac:dyDescent="0.25">
      <c r="A109" s="8">
        <v>43334</v>
      </c>
      <c r="B109" s="4">
        <v>252</v>
      </c>
      <c r="C109" s="4">
        <v>263.01998900000001</v>
      </c>
      <c r="D109" s="4">
        <v>251.86000100000001</v>
      </c>
      <c r="E109" s="4">
        <v>262.82000699999998</v>
      </c>
      <c r="F109" s="4">
        <v>262.14358499999997</v>
      </c>
      <c r="G109" s="11">
        <v>18746400</v>
      </c>
      <c r="H109" s="3">
        <f>(NVDA[[#This Row],[Close]]-E108)/E108</f>
        <v>3.7501972751800734E-2</v>
      </c>
    </row>
    <row r="110" spans="1:8" x14ac:dyDescent="0.25">
      <c r="A110" s="8">
        <v>43335</v>
      </c>
      <c r="B110" s="4">
        <v>261.26001000000002</v>
      </c>
      <c r="C110" s="4">
        <v>269.48001099999999</v>
      </c>
      <c r="D110" s="4">
        <v>260.70001200000002</v>
      </c>
      <c r="E110" s="4">
        <v>266.83999599999999</v>
      </c>
      <c r="F110" s="4">
        <v>266.15325899999999</v>
      </c>
      <c r="G110" s="11">
        <v>18017100</v>
      </c>
      <c r="H110" s="3">
        <f>(NVDA[[#This Row],[Close]]-E109)/E109</f>
        <v>1.5295597340121866E-2</v>
      </c>
    </row>
    <row r="111" spans="1:8" x14ac:dyDescent="0.25">
      <c r="A111" s="8">
        <v>43336</v>
      </c>
      <c r="B111" s="4">
        <v>267.17999300000002</v>
      </c>
      <c r="C111" s="4">
        <v>272.80999800000001</v>
      </c>
      <c r="D111" s="4">
        <v>267</v>
      </c>
      <c r="E111" s="4">
        <v>272.22000100000002</v>
      </c>
      <c r="F111" s="4">
        <v>271.51937900000001</v>
      </c>
      <c r="G111" s="11">
        <v>13287800</v>
      </c>
      <c r="H111" s="3">
        <f>(NVDA[[#This Row],[Close]]-E110)/E110</f>
        <v>2.0161913808453363E-2</v>
      </c>
    </row>
    <row r="112" spans="1:8" x14ac:dyDescent="0.25">
      <c r="A112" s="8">
        <v>43339</v>
      </c>
      <c r="B112" s="4">
        <v>273.42001299999998</v>
      </c>
      <c r="C112" s="4">
        <v>278.89999399999999</v>
      </c>
      <c r="D112" s="4">
        <v>272.14999399999999</v>
      </c>
      <c r="E112" s="4">
        <v>275.89999399999999</v>
      </c>
      <c r="F112" s="4">
        <v>275.189911</v>
      </c>
      <c r="G112" s="11">
        <v>12644400</v>
      </c>
      <c r="H112" s="3">
        <f>(NVDA[[#This Row],[Close]]-E111)/E111</f>
        <v>1.3518451937703017E-2</v>
      </c>
    </row>
    <row r="113" spans="1:8" x14ac:dyDescent="0.25">
      <c r="A113" s="8">
        <v>43340</v>
      </c>
      <c r="B113" s="4">
        <v>275.66000400000001</v>
      </c>
      <c r="C113" s="4">
        <v>276.57998700000002</v>
      </c>
      <c r="D113" s="4">
        <v>269.52999899999998</v>
      </c>
      <c r="E113" s="4">
        <v>274.38000499999998</v>
      </c>
      <c r="F113" s="4">
        <v>273.67385899999999</v>
      </c>
      <c r="G113" s="11">
        <v>11884600</v>
      </c>
      <c r="H113" s="3">
        <f>(NVDA[[#This Row],[Close]]-E112)/E112</f>
        <v>-5.509202729449895E-3</v>
      </c>
    </row>
    <row r="114" spans="1:8" x14ac:dyDescent="0.25">
      <c r="A114" s="8">
        <v>43341</v>
      </c>
      <c r="B114" s="4">
        <v>273.92001299999998</v>
      </c>
      <c r="C114" s="4">
        <v>279.5</v>
      </c>
      <c r="D114" s="4">
        <v>273.07998700000002</v>
      </c>
      <c r="E114" s="4">
        <v>278.48998999999998</v>
      </c>
      <c r="F114" s="4">
        <v>277.92517099999998</v>
      </c>
      <c r="G114" s="11">
        <v>10502700</v>
      </c>
      <c r="H114" s="3">
        <f>(NVDA[[#This Row],[Close]]-E113)/E113</f>
        <v>1.4979170949428312E-2</v>
      </c>
    </row>
    <row r="115" spans="1:8" x14ac:dyDescent="0.25">
      <c r="A115" s="8">
        <v>43342</v>
      </c>
      <c r="B115" s="4">
        <v>277.23001099999999</v>
      </c>
      <c r="C115" s="4">
        <v>281.72000100000002</v>
      </c>
      <c r="D115" s="4">
        <v>276.32000699999998</v>
      </c>
      <c r="E115" s="4">
        <v>277.80999800000001</v>
      </c>
      <c r="F115" s="4">
        <v>277.24658199999999</v>
      </c>
      <c r="G115" s="11">
        <v>8665200</v>
      </c>
      <c r="H115" s="3">
        <f>(NVDA[[#This Row],[Close]]-E114)/E114</f>
        <v>-2.4417107415601194E-3</v>
      </c>
    </row>
    <row r="116" spans="1:8" x14ac:dyDescent="0.25">
      <c r="A116" s="8">
        <v>43343</v>
      </c>
      <c r="B116" s="4">
        <v>277</v>
      </c>
      <c r="C116" s="4">
        <v>281.20001200000002</v>
      </c>
      <c r="D116" s="4">
        <v>276.60000600000001</v>
      </c>
      <c r="E116" s="4">
        <v>280.67999300000002</v>
      </c>
      <c r="F116" s="4">
        <v>280.110748</v>
      </c>
      <c r="G116" s="11">
        <v>7664800</v>
      </c>
      <c r="H116" s="3">
        <f>(NVDA[[#This Row],[Close]]-E115)/E115</f>
        <v>1.0330783703472101E-2</v>
      </c>
    </row>
    <row r="117" spans="1:8" x14ac:dyDescent="0.25">
      <c r="A117" s="8">
        <v>43347</v>
      </c>
      <c r="B117" s="4">
        <v>280.14999399999999</v>
      </c>
      <c r="C117" s="4">
        <v>285.22000100000002</v>
      </c>
      <c r="D117" s="4">
        <v>279</v>
      </c>
      <c r="E117" s="4">
        <v>283.70001200000002</v>
      </c>
      <c r="F117" s="4">
        <v>283.124664</v>
      </c>
      <c r="G117" s="11">
        <v>9793000</v>
      </c>
      <c r="H117" s="3">
        <f>(NVDA[[#This Row],[Close]]-E116)/E116</f>
        <v>1.0759651828835518E-2</v>
      </c>
    </row>
    <row r="118" spans="1:8" x14ac:dyDescent="0.25">
      <c r="A118" s="8">
        <v>43348</v>
      </c>
      <c r="B118" s="4">
        <v>282.98998999999998</v>
      </c>
      <c r="C118" s="4">
        <v>284.42001299999998</v>
      </c>
      <c r="D118" s="4">
        <v>275.14999399999999</v>
      </c>
      <c r="E118" s="4">
        <v>278.42001299999998</v>
      </c>
      <c r="F118" s="4">
        <v>277.85537699999998</v>
      </c>
      <c r="G118" s="11">
        <v>9828900</v>
      </c>
      <c r="H118" s="3">
        <f>(NVDA[[#This Row],[Close]]-E117)/E117</f>
        <v>-1.8611204711545912E-2</v>
      </c>
    </row>
    <row r="119" spans="1:8" x14ac:dyDescent="0.25">
      <c r="A119" s="8">
        <v>43349</v>
      </c>
      <c r="B119" s="4">
        <v>277.76001000000002</v>
      </c>
      <c r="C119" s="4">
        <v>277.85998499999999</v>
      </c>
      <c r="D119" s="4">
        <v>271.39001500000001</v>
      </c>
      <c r="E119" s="4">
        <v>272.72000100000002</v>
      </c>
      <c r="F119" s="4">
        <v>272.166901</v>
      </c>
      <c r="G119" s="11">
        <v>8069900</v>
      </c>
      <c r="H119" s="3">
        <f>(NVDA[[#This Row],[Close]]-E118)/E118</f>
        <v>-2.0472709337887859E-2</v>
      </c>
    </row>
    <row r="120" spans="1:8" x14ac:dyDescent="0.25">
      <c r="A120" s="8">
        <v>43350</v>
      </c>
      <c r="B120" s="4">
        <v>269</v>
      </c>
      <c r="C120" s="4">
        <v>276.92999300000002</v>
      </c>
      <c r="D120" s="4">
        <v>267.19000199999999</v>
      </c>
      <c r="E120" s="4">
        <v>271.85998499999999</v>
      </c>
      <c r="F120" s="4">
        <v>271.30865499999999</v>
      </c>
      <c r="G120" s="11">
        <v>7385500</v>
      </c>
      <c r="H120" s="3">
        <f>(NVDA[[#This Row],[Close]]-E119)/E119</f>
        <v>-3.1534760811328614E-3</v>
      </c>
    </row>
    <row r="121" spans="1:8" x14ac:dyDescent="0.25">
      <c r="A121" s="8">
        <v>43353</v>
      </c>
      <c r="B121" s="4">
        <v>272.76998900000001</v>
      </c>
      <c r="C121" s="4">
        <v>275.92999300000002</v>
      </c>
      <c r="D121" s="4">
        <v>271</v>
      </c>
      <c r="E121" s="4">
        <v>274.73001099999999</v>
      </c>
      <c r="F121" s="4">
        <v>274.17285199999998</v>
      </c>
      <c r="G121" s="11">
        <v>5503500</v>
      </c>
      <c r="H121" s="3">
        <f>(NVDA[[#This Row],[Close]]-E120)/E120</f>
        <v>1.0557000508920045E-2</v>
      </c>
    </row>
    <row r="122" spans="1:8" x14ac:dyDescent="0.25">
      <c r="A122" s="8">
        <v>43354</v>
      </c>
      <c r="B122" s="4">
        <v>272.85998499999999</v>
      </c>
      <c r="C122" s="4">
        <v>276.39999399999999</v>
      </c>
      <c r="D122" s="4">
        <v>272.01998900000001</v>
      </c>
      <c r="E122" s="4">
        <v>272.79998799999998</v>
      </c>
      <c r="F122" s="4">
        <v>272.246735</v>
      </c>
      <c r="G122" s="11">
        <v>6077800</v>
      </c>
      <c r="H122" s="3">
        <f>(NVDA[[#This Row],[Close]]-E121)/E121</f>
        <v>-7.025162605915688E-3</v>
      </c>
    </row>
    <row r="123" spans="1:8" x14ac:dyDescent="0.25">
      <c r="A123" s="8">
        <v>43355</v>
      </c>
      <c r="B123" s="4">
        <v>271.19000199999999</v>
      </c>
      <c r="C123" s="4">
        <v>271.98001099999999</v>
      </c>
      <c r="D123" s="4">
        <v>261.92001299999998</v>
      </c>
      <c r="E123" s="4">
        <v>268.20001200000002</v>
      </c>
      <c r="F123" s="4">
        <v>267.65606700000001</v>
      </c>
      <c r="G123" s="11">
        <v>10477300</v>
      </c>
      <c r="H123" s="3">
        <f>(NVDA[[#This Row],[Close]]-E122)/E122</f>
        <v>-1.6862082853170691E-2</v>
      </c>
    </row>
    <row r="124" spans="1:8" x14ac:dyDescent="0.25">
      <c r="A124" s="8">
        <v>43356</v>
      </c>
      <c r="B124" s="4">
        <v>270.85998499999999</v>
      </c>
      <c r="C124" s="4">
        <v>275</v>
      </c>
      <c r="D124" s="4">
        <v>270.16000400000001</v>
      </c>
      <c r="E124" s="4">
        <v>271.33999599999999</v>
      </c>
      <c r="F124" s="4">
        <v>270.78970299999997</v>
      </c>
      <c r="G124" s="11">
        <v>7638400</v>
      </c>
      <c r="H124" s="3">
        <f>(NVDA[[#This Row],[Close]]-E123)/E123</f>
        <v>1.170762065439419E-2</v>
      </c>
    </row>
    <row r="125" spans="1:8" x14ac:dyDescent="0.25">
      <c r="A125" s="8">
        <v>43357</v>
      </c>
      <c r="B125" s="4">
        <v>274.98998999999998</v>
      </c>
      <c r="C125" s="4">
        <v>279.10000600000001</v>
      </c>
      <c r="D125" s="4">
        <v>273.5</v>
      </c>
      <c r="E125" s="4">
        <v>276.42999300000002</v>
      </c>
      <c r="F125" s="4">
        <v>275.86938500000002</v>
      </c>
      <c r="G125" s="11">
        <v>9673400</v>
      </c>
      <c r="H125" s="3">
        <f>(NVDA[[#This Row],[Close]]-E124)/E124</f>
        <v>1.8758742076490777E-2</v>
      </c>
    </row>
    <row r="126" spans="1:8" x14ac:dyDescent="0.25">
      <c r="A126" s="8">
        <v>43360</v>
      </c>
      <c r="B126" s="4">
        <v>275.39999399999999</v>
      </c>
      <c r="C126" s="4">
        <v>277.38000499999998</v>
      </c>
      <c r="D126" s="4">
        <v>273.14999399999999</v>
      </c>
      <c r="E126" s="4">
        <v>273.92999300000002</v>
      </c>
      <c r="F126" s="4">
        <v>273.37445100000002</v>
      </c>
      <c r="G126" s="11">
        <v>5138200</v>
      </c>
      <c r="H126" s="3">
        <f>(NVDA[[#This Row],[Close]]-E125)/E125</f>
        <v>-9.0438811391931693E-3</v>
      </c>
    </row>
    <row r="127" spans="1:8" x14ac:dyDescent="0.25">
      <c r="A127" s="8">
        <v>43361</v>
      </c>
      <c r="B127" s="4">
        <v>274.08999599999999</v>
      </c>
      <c r="C127" s="4">
        <v>278.23998999999998</v>
      </c>
      <c r="D127" s="4">
        <v>270.75</v>
      </c>
      <c r="E127" s="4">
        <v>271.01998900000001</v>
      </c>
      <c r="F127" s="4">
        <v>270.47033699999997</v>
      </c>
      <c r="G127" s="11">
        <v>7488000</v>
      </c>
      <c r="H127" s="3">
        <f>(NVDA[[#This Row],[Close]]-E126)/E126</f>
        <v>-1.0623166773855299E-2</v>
      </c>
    </row>
    <row r="128" spans="1:8" x14ac:dyDescent="0.25">
      <c r="A128" s="8">
        <v>43362</v>
      </c>
      <c r="B128" s="4">
        <v>270.26998900000001</v>
      </c>
      <c r="C128" s="4">
        <v>272.70001200000002</v>
      </c>
      <c r="D128" s="4">
        <v>268.25</v>
      </c>
      <c r="E128" s="4">
        <v>271.98001099999999</v>
      </c>
      <c r="F128" s="4">
        <v>271.42843599999998</v>
      </c>
      <c r="G128" s="11">
        <v>5621500</v>
      </c>
      <c r="H128" s="3">
        <f>(NVDA[[#This Row],[Close]]-E127)/E127</f>
        <v>3.5422553278901536E-3</v>
      </c>
    </row>
    <row r="129" spans="1:8" x14ac:dyDescent="0.25">
      <c r="A129" s="8">
        <v>43363</v>
      </c>
      <c r="B129" s="4">
        <v>267.04998799999998</v>
      </c>
      <c r="C129" s="4">
        <v>268.76001000000002</v>
      </c>
      <c r="D129" s="4">
        <v>264.10000600000001</v>
      </c>
      <c r="E129" s="4">
        <v>266.27999899999998</v>
      </c>
      <c r="F129" s="4">
        <v>265.73996</v>
      </c>
      <c r="G129" s="11">
        <v>10764600</v>
      </c>
      <c r="H129" s="3">
        <f>(NVDA[[#This Row],[Close]]-E128)/E128</f>
        <v>-2.0957466613235835E-2</v>
      </c>
    </row>
    <row r="130" spans="1:8" x14ac:dyDescent="0.25">
      <c r="A130" s="8">
        <v>43364</v>
      </c>
      <c r="B130" s="4">
        <v>266.76001000000002</v>
      </c>
      <c r="C130" s="4">
        <v>268.60000600000001</v>
      </c>
      <c r="D130" s="4">
        <v>262.10998499999999</v>
      </c>
      <c r="E130" s="4">
        <v>263.45001200000002</v>
      </c>
      <c r="F130" s="4">
        <v>262.91570999999999</v>
      </c>
      <c r="G130" s="11">
        <v>10878200</v>
      </c>
      <c r="H130" s="3">
        <f>(NVDA[[#This Row],[Close]]-E129)/E129</f>
        <v>-1.0627861689303823E-2</v>
      </c>
    </row>
    <row r="131" spans="1:8" x14ac:dyDescent="0.25">
      <c r="A131" s="8">
        <v>43367</v>
      </c>
      <c r="B131" s="4">
        <v>262.20001200000002</v>
      </c>
      <c r="C131" s="4">
        <v>265.83999599999999</v>
      </c>
      <c r="D131" s="4">
        <v>258.67999300000002</v>
      </c>
      <c r="E131" s="4">
        <v>265.70001200000002</v>
      </c>
      <c r="F131" s="4">
        <v>265.16113300000001</v>
      </c>
      <c r="G131" s="11">
        <v>7347800</v>
      </c>
      <c r="H131" s="3">
        <f>(NVDA[[#This Row],[Close]]-E130)/E130</f>
        <v>8.5405196337588318E-3</v>
      </c>
    </row>
    <row r="132" spans="1:8" x14ac:dyDescent="0.25">
      <c r="A132" s="8">
        <v>43368</v>
      </c>
      <c r="B132" s="4">
        <v>268.36999500000002</v>
      </c>
      <c r="C132" s="4">
        <v>269.42001299999998</v>
      </c>
      <c r="D132" s="4">
        <v>264.91000400000001</v>
      </c>
      <c r="E132" s="4">
        <v>268.41000400000001</v>
      </c>
      <c r="F132" s="4">
        <v>267.86566199999999</v>
      </c>
      <c r="G132" s="11">
        <v>7009700</v>
      </c>
      <c r="H132" s="3">
        <f>(NVDA[[#This Row],[Close]]-E131)/E131</f>
        <v>1.0199442520160668E-2</v>
      </c>
    </row>
    <row r="133" spans="1:8" x14ac:dyDescent="0.25">
      <c r="A133" s="8">
        <v>43369</v>
      </c>
      <c r="B133" s="4">
        <v>268.60998499999999</v>
      </c>
      <c r="C133" s="4">
        <v>270.23998999999998</v>
      </c>
      <c r="D133" s="4">
        <v>266.27999899999998</v>
      </c>
      <c r="E133" s="4">
        <v>266.92001299999998</v>
      </c>
      <c r="F133" s="4">
        <v>266.37866200000002</v>
      </c>
      <c r="G133" s="11">
        <v>6713700</v>
      </c>
      <c r="H133" s="3">
        <f>(NVDA[[#This Row],[Close]]-E132)/E132</f>
        <v>-5.5511753578306707E-3</v>
      </c>
    </row>
    <row r="134" spans="1:8" x14ac:dyDescent="0.25">
      <c r="A134" s="8">
        <v>43370</v>
      </c>
      <c r="B134" s="4">
        <v>268.33999599999999</v>
      </c>
      <c r="C134" s="4">
        <v>269.20001200000002</v>
      </c>
      <c r="D134" s="4">
        <v>266.13000499999998</v>
      </c>
      <c r="E134" s="4">
        <v>267.39999399999999</v>
      </c>
      <c r="F134" s="4">
        <v>266.85769699999997</v>
      </c>
      <c r="G134" s="11">
        <v>5360700</v>
      </c>
      <c r="H134" s="3">
        <f>(NVDA[[#This Row],[Close]]-E133)/E133</f>
        <v>1.7982203530014416E-3</v>
      </c>
    </row>
    <row r="135" spans="1:8" x14ac:dyDescent="0.25">
      <c r="A135" s="8">
        <v>43371</v>
      </c>
      <c r="B135" s="4">
        <v>272.73001099999999</v>
      </c>
      <c r="C135" s="4">
        <v>281.92001299999998</v>
      </c>
      <c r="D135" s="4">
        <v>271.60000600000001</v>
      </c>
      <c r="E135" s="4">
        <v>281.01998900000001</v>
      </c>
      <c r="F135" s="4">
        <v>280.45004299999999</v>
      </c>
      <c r="G135" s="11">
        <v>17734900</v>
      </c>
      <c r="H135" s="3">
        <f>(NVDA[[#This Row],[Close]]-E134)/E134</f>
        <v>5.0934911389713858E-2</v>
      </c>
    </row>
    <row r="136" spans="1:8" x14ac:dyDescent="0.25">
      <c r="A136" s="8">
        <v>43374</v>
      </c>
      <c r="B136" s="4">
        <v>284.16000400000001</v>
      </c>
      <c r="C136" s="4">
        <v>292.05999800000001</v>
      </c>
      <c r="D136" s="4">
        <v>282.60000600000001</v>
      </c>
      <c r="E136" s="4">
        <v>289.35998499999999</v>
      </c>
      <c r="F136" s="4">
        <v>288.77313199999998</v>
      </c>
      <c r="G136" s="11">
        <v>15551500</v>
      </c>
      <c r="H136" s="3">
        <f>(NVDA[[#This Row],[Close]]-E135)/E135</f>
        <v>2.9677589945389916E-2</v>
      </c>
    </row>
    <row r="137" spans="1:8" x14ac:dyDescent="0.25">
      <c r="A137" s="8">
        <v>43375</v>
      </c>
      <c r="B137" s="4">
        <v>288.25</v>
      </c>
      <c r="C137" s="4">
        <v>292.76001000000002</v>
      </c>
      <c r="D137" s="4">
        <v>285.57998700000002</v>
      </c>
      <c r="E137" s="4">
        <v>286.48001099999999</v>
      </c>
      <c r="F137" s="4">
        <v>285.89901700000001</v>
      </c>
      <c r="G137" s="11">
        <v>9599100</v>
      </c>
      <c r="H137" s="3">
        <f>(NVDA[[#This Row],[Close]]-E136)/E136</f>
        <v>-9.9529103860024198E-3</v>
      </c>
    </row>
    <row r="138" spans="1:8" x14ac:dyDescent="0.25">
      <c r="A138" s="8">
        <v>43376</v>
      </c>
      <c r="B138" s="4">
        <v>289.32000699999998</v>
      </c>
      <c r="C138" s="4">
        <v>289.61999500000002</v>
      </c>
      <c r="D138" s="4">
        <v>282.52999899999998</v>
      </c>
      <c r="E138" s="4">
        <v>286.73001099999999</v>
      </c>
      <c r="F138" s="4">
        <v>286.14846799999998</v>
      </c>
      <c r="G138" s="11">
        <v>8013800</v>
      </c>
      <c r="H138" s="3">
        <f>(NVDA[[#This Row],[Close]]-E137)/E137</f>
        <v>8.726612342946329E-4</v>
      </c>
    </row>
    <row r="139" spans="1:8" x14ac:dyDescent="0.25">
      <c r="A139" s="8">
        <v>43377</v>
      </c>
      <c r="B139" s="4">
        <v>285.26998900000001</v>
      </c>
      <c r="C139" s="4">
        <v>286.25</v>
      </c>
      <c r="D139" s="4">
        <v>276.17999300000002</v>
      </c>
      <c r="E139" s="4">
        <v>279.290009</v>
      </c>
      <c r="F139" s="4">
        <v>278.72357199999999</v>
      </c>
      <c r="G139" s="11">
        <v>9780500</v>
      </c>
      <c r="H139" s="3">
        <f>(NVDA[[#This Row],[Close]]-E138)/E138</f>
        <v>-2.5947761708138718E-2</v>
      </c>
    </row>
    <row r="140" spans="1:8" x14ac:dyDescent="0.25">
      <c r="A140" s="8">
        <v>43378</v>
      </c>
      <c r="B140" s="4">
        <v>278.290009</v>
      </c>
      <c r="C140" s="4">
        <v>280.79998799999998</v>
      </c>
      <c r="D140" s="4">
        <v>267.540009</v>
      </c>
      <c r="E140" s="4">
        <v>269.85998499999999</v>
      </c>
      <c r="F140" s="4">
        <v>269.31268299999999</v>
      </c>
      <c r="G140" s="11">
        <v>10665900</v>
      </c>
      <c r="H140" s="3">
        <f>(NVDA[[#This Row],[Close]]-E139)/E139</f>
        <v>-3.3764272605970674E-2</v>
      </c>
    </row>
    <row r="141" spans="1:8" x14ac:dyDescent="0.25">
      <c r="A141" s="8">
        <v>43381</v>
      </c>
      <c r="B141" s="4">
        <v>266.5</v>
      </c>
      <c r="C141" s="4">
        <v>271.16000400000001</v>
      </c>
      <c r="D141" s="4">
        <v>260.07998700000002</v>
      </c>
      <c r="E141" s="4">
        <v>265.76998900000001</v>
      </c>
      <c r="F141" s="4">
        <v>265.23098800000002</v>
      </c>
      <c r="G141" s="11">
        <v>10215300</v>
      </c>
      <c r="H141" s="3">
        <f>(NVDA[[#This Row],[Close]]-E140)/E140</f>
        <v>-1.5155992838286066E-2</v>
      </c>
    </row>
    <row r="142" spans="1:8" x14ac:dyDescent="0.25">
      <c r="A142" s="8">
        <v>43382</v>
      </c>
      <c r="B142" s="4">
        <v>264.94000199999999</v>
      </c>
      <c r="C142" s="4">
        <v>268.76001000000002</v>
      </c>
      <c r="D142" s="4">
        <v>262.79998799999998</v>
      </c>
      <c r="E142" s="4">
        <v>265.540009</v>
      </c>
      <c r="F142" s="4">
        <v>265.00149499999998</v>
      </c>
      <c r="G142" s="11">
        <v>6837500</v>
      </c>
      <c r="H142" s="3">
        <f>(NVDA[[#This Row],[Close]]-E141)/E141</f>
        <v>-8.6533472370355492E-4</v>
      </c>
    </row>
    <row r="143" spans="1:8" x14ac:dyDescent="0.25">
      <c r="A143" s="8">
        <v>43383</v>
      </c>
      <c r="B143" s="4">
        <v>261.26001000000002</v>
      </c>
      <c r="C143" s="4">
        <v>263.10998499999999</v>
      </c>
      <c r="D143" s="4">
        <v>245.60000600000001</v>
      </c>
      <c r="E143" s="4">
        <v>245.69000199999999</v>
      </c>
      <c r="F143" s="4">
        <v>245.191711</v>
      </c>
      <c r="G143" s="11">
        <v>17123500</v>
      </c>
      <c r="H143" s="3">
        <f>(NVDA[[#This Row],[Close]]-E142)/E142</f>
        <v>-7.4753356658958325E-2</v>
      </c>
    </row>
    <row r="144" spans="1:8" x14ac:dyDescent="0.25">
      <c r="A144" s="8">
        <v>43384</v>
      </c>
      <c r="B144" s="4">
        <v>242.16999799999999</v>
      </c>
      <c r="C144" s="4">
        <v>247.55999800000001</v>
      </c>
      <c r="D144" s="4">
        <v>234.259995</v>
      </c>
      <c r="E144" s="4">
        <v>235.13000500000001</v>
      </c>
      <c r="F144" s="4">
        <v>234.65313699999999</v>
      </c>
      <c r="G144" s="11">
        <v>18135900</v>
      </c>
      <c r="H144" s="3">
        <f>(NVDA[[#This Row],[Close]]-E143)/E143</f>
        <v>-4.2980979746990201E-2</v>
      </c>
    </row>
    <row r="145" spans="1:8" x14ac:dyDescent="0.25">
      <c r="A145" s="8">
        <v>43385</v>
      </c>
      <c r="B145" s="4">
        <v>245.509995</v>
      </c>
      <c r="C145" s="4">
        <v>249.53999300000001</v>
      </c>
      <c r="D145" s="4">
        <v>239.64999399999999</v>
      </c>
      <c r="E145" s="4">
        <v>246.53999300000001</v>
      </c>
      <c r="F145" s="4">
        <v>246.03999300000001</v>
      </c>
      <c r="G145" s="11">
        <v>15205900</v>
      </c>
      <c r="H145" s="3">
        <f>(NVDA[[#This Row],[Close]]-E144)/E144</f>
        <v>4.8526295059620306E-2</v>
      </c>
    </row>
    <row r="146" spans="1:8" x14ac:dyDescent="0.25">
      <c r="A146" s="8">
        <v>43388</v>
      </c>
      <c r="B146" s="4">
        <v>246</v>
      </c>
      <c r="C146" s="4">
        <v>246</v>
      </c>
      <c r="D146" s="4">
        <v>235.33999600000001</v>
      </c>
      <c r="E146" s="4">
        <v>235.38000500000001</v>
      </c>
      <c r="F146" s="4">
        <v>234.90263400000001</v>
      </c>
      <c r="G146" s="11">
        <v>11244000</v>
      </c>
      <c r="H146" s="3">
        <f>(NVDA[[#This Row],[Close]]-E145)/E145</f>
        <v>-4.5266440808246468E-2</v>
      </c>
    </row>
    <row r="147" spans="1:8" x14ac:dyDescent="0.25">
      <c r="A147" s="8">
        <v>43389</v>
      </c>
      <c r="B147" s="4">
        <v>239.929993</v>
      </c>
      <c r="C147" s="4">
        <v>246.279999</v>
      </c>
      <c r="D147" s="4">
        <v>237.94000199999999</v>
      </c>
      <c r="E147" s="4">
        <v>245.83000200000001</v>
      </c>
      <c r="F147" s="4">
        <v>245.331436</v>
      </c>
      <c r="G147" s="11">
        <v>10217800</v>
      </c>
      <c r="H147" s="3">
        <f>(NVDA[[#This Row],[Close]]-E146)/E146</f>
        <v>4.4396281663771721E-2</v>
      </c>
    </row>
    <row r="148" spans="1:8" x14ac:dyDescent="0.25">
      <c r="A148" s="8">
        <v>43390</v>
      </c>
      <c r="B148" s="4">
        <v>248.33999600000001</v>
      </c>
      <c r="C148" s="4">
        <v>249.88000500000001</v>
      </c>
      <c r="D148" s="4">
        <v>241.08000200000001</v>
      </c>
      <c r="E148" s="4">
        <v>243.05999800000001</v>
      </c>
      <c r="F148" s="4">
        <v>242.567047</v>
      </c>
      <c r="G148" s="11">
        <v>8241700</v>
      </c>
      <c r="H148" s="3">
        <f>(NVDA[[#This Row],[Close]]-E147)/E147</f>
        <v>-1.1267965575658255E-2</v>
      </c>
    </row>
    <row r="149" spans="1:8" x14ac:dyDescent="0.25">
      <c r="A149" s="8">
        <v>43391</v>
      </c>
      <c r="B149" s="4">
        <v>245.86000100000001</v>
      </c>
      <c r="C149" s="4">
        <v>247.41000399999999</v>
      </c>
      <c r="D149" s="4">
        <v>237.08999600000001</v>
      </c>
      <c r="E149" s="4">
        <v>239.529999</v>
      </c>
      <c r="F149" s="4">
        <v>239.04420500000001</v>
      </c>
      <c r="G149" s="11">
        <v>13100500</v>
      </c>
      <c r="H149" s="3">
        <f>(NVDA[[#This Row],[Close]]-E148)/E148</f>
        <v>-1.4523159010311534E-2</v>
      </c>
    </row>
    <row r="150" spans="1:8" x14ac:dyDescent="0.25">
      <c r="A150" s="8">
        <v>43392</v>
      </c>
      <c r="B150" s="4">
        <v>241.759995</v>
      </c>
      <c r="C150" s="4">
        <v>242.550003</v>
      </c>
      <c r="D150" s="4">
        <v>227.699997</v>
      </c>
      <c r="E150" s="4">
        <v>229.16999799999999</v>
      </c>
      <c r="F150" s="4">
        <v>228.705231</v>
      </c>
      <c r="G150" s="11">
        <v>15340200</v>
      </c>
      <c r="H150" s="3">
        <f>(NVDA[[#This Row],[Close]]-E149)/E149</f>
        <v>-4.3251371616296004E-2</v>
      </c>
    </row>
    <row r="151" spans="1:8" x14ac:dyDescent="0.25">
      <c r="A151" s="8">
        <v>43395</v>
      </c>
      <c r="B151" s="4">
        <v>231.279999</v>
      </c>
      <c r="C151" s="4">
        <v>235.320007</v>
      </c>
      <c r="D151" s="4">
        <v>227.070007</v>
      </c>
      <c r="E151" s="4">
        <v>231.220001</v>
      </c>
      <c r="F151" s="4">
        <v>230.751068</v>
      </c>
      <c r="G151" s="11">
        <v>9221100</v>
      </c>
      <c r="H151" s="3">
        <f>(NVDA[[#This Row],[Close]]-E150)/E150</f>
        <v>8.9453376004305935E-3</v>
      </c>
    </row>
    <row r="152" spans="1:8" x14ac:dyDescent="0.25">
      <c r="A152" s="8">
        <v>43396</v>
      </c>
      <c r="B152" s="4">
        <v>220.429993</v>
      </c>
      <c r="C152" s="4">
        <v>224.19000199999999</v>
      </c>
      <c r="D152" s="4">
        <v>216.71000699999999</v>
      </c>
      <c r="E152" s="4">
        <v>221.05999800000001</v>
      </c>
      <c r="F152" s="4">
        <v>220.61166399999999</v>
      </c>
      <c r="G152" s="11">
        <v>15660900</v>
      </c>
      <c r="H152" s="3">
        <f>(NVDA[[#This Row],[Close]]-E151)/E151</f>
        <v>-4.3940848352474443E-2</v>
      </c>
    </row>
    <row r="153" spans="1:8" x14ac:dyDescent="0.25">
      <c r="A153" s="8">
        <v>43397</v>
      </c>
      <c r="B153" s="4">
        <v>219.509995</v>
      </c>
      <c r="C153" s="4">
        <v>221.38999899999999</v>
      </c>
      <c r="D153" s="4">
        <v>198.85000600000001</v>
      </c>
      <c r="E153" s="4">
        <v>199.41000399999999</v>
      </c>
      <c r="F153" s="4">
        <v>199.005585</v>
      </c>
      <c r="G153" s="11">
        <v>22107200</v>
      </c>
      <c r="H153" s="3">
        <f>(NVDA[[#This Row],[Close]]-E152)/E152</f>
        <v>-9.793718536087212E-2</v>
      </c>
    </row>
    <row r="154" spans="1:8" x14ac:dyDescent="0.25">
      <c r="A154" s="8">
        <v>43398</v>
      </c>
      <c r="B154" s="4">
        <v>195.470001</v>
      </c>
      <c r="C154" s="4">
        <v>209.75</v>
      </c>
      <c r="D154" s="4">
        <v>193.679993</v>
      </c>
      <c r="E154" s="4">
        <v>207.83999600000001</v>
      </c>
      <c r="F154" s="4">
        <v>207.418488</v>
      </c>
      <c r="G154" s="11">
        <v>23793000</v>
      </c>
      <c r="H154" s="3">
        <f>(NVDA[[#This Row],[Close]]-E153)/E153</f>
        <v>4.2274669429323251E-2</v>
      </c>
    </row>
    <row r="155" spans="1:8" x14ac:dyDescent="0.25">
      <c r="A155" s="8">
        <v>43399</v>
      </c>
      <c r="B155" s="4">
        <v>198.30999800000001</v>
      </c>
      <c r="C155" s="4">
        <v>204.83999600000001</v>
      </c>
      <c r="D155" s="4">
        <v>193.11999499999999</v>
      </c>
      <c r="E155" s="4">
        <v>198.28999300000001</v>
      </c>
      <c r="F155" s="4">
        <v>197.887833</v>
      </c>
      <c r="G155" s="11">
        <v>16619600</v>
      </c>
      <c r="H155" s="3">
        <f>(NVDA[[#This Row],[Close]]-E154)/E154</f>
        <v>-4.5948822092933467E-2</v>
      </c>
    </row>
    <row r="156" spans="1:8" x14ac:dyDescent="0.25">
      <c r="A156" s="8">
        <v>43402</v>
      </c>
      <c r="B156" s="4">
        <v>203.990005</v>
      </c>
      <c r="C156" s="4">
        <v>204.13000500000001</v>
      </c>
      <c r="D156" s="4">
        <v>176.009995</v>
      </c>
      <c r="E156" s="4">
        <v>185.61999499999999</v>
      </c>
      <c r="F156" s="4">
        <v>185.24352999999999</v>
      </c>
      <c r="G156" s="11">
        <v>18950400</v>
      </c>
      <c r="H156" s="3">
        <f>(NVDA[[#This Row],[Close]]-E155)/E155</f>
        <v>-6.3896305649675522E-2</v>
      </c>
    </row>
    <row r="157" spans="1:8" x14ac:dyDescent="0.25">
      <c r="A157" s="8">
        <v>43403</v>
      </c>
      <c r="B157" s="4">
        <v>186.550003</v>
      </c>
      <c r="C157" s="4">
        <v>203.39999399999999</v>
      </c>
      <c r="D157" s="4">
        <v>185.61999499999999</v>
      </c>
      <c r="E157" s="4">
        <v>203</v>
      </c>
      <c r="F157" s="4">
        <v>202.588303</v>
      </c>
      <c r="G157" s="11">
        <v>20179800</v>
      </c>
      <c r="H157" s="3">
        <f>(NVDA[[#This Row],[Close]]-E156)/E156</f>
        <v>9.3632181166689574E-2</v>
      </c>
    </row>
    <row r="158" spans="1:8" x14ac:dyDescent="0.25">
      <c r="A158" s="8">
        <v>43404</v>
      </c>
      <c r="B158" s="4">
        <v>209.64999399999999</v>
      </c>
      <c r="C158" s="4">
        <v>212.58999600000001</v>
      </c>
      <c r="D158" s="4">
        <v>204.009995</v>
      </c>
      <c r="E158" s="4">
        <v>210.83000200000001</v>
      </c>
      <c r="F158" s="4">
        <v>210.40242000000001</v>
      </c>
      <c r="G158" s="11">
        <v>18644300</v>
      </c>
      <c r="H158" s="3">
        <f>(NVDA[[#This Row],[Close]]-E157)/E157</f>
        <v>3.8571438423645354E-2</v>
      </c>
    </row>
    <row r="159" spans="1:8" x14ac:dyDescent="0.25">
      <c r="A159" s="8">
        <v>43405</v>
      </c>
      <c r="B159" s="4">
        <v>212.300003</v>
      </c>
      <c r="C159" s="4">
        <v>218.490005</v>
      </c>
      <c r="D159" s="4">
        <v>207.19000199999999</v>
      </c>
      <c r="E159" s="4">
        <v>218.11000100000001</v>
      </c>
      <c r="F159" s="4">
        <v>217.66764800000001</v>
      </c>
      <c r="G159" s="11">
        <v>14163200</v>
      </c>
      <c r="H159" s="3">
        <f>(NVDA[[#This Row],[Close]]-E158)/E158</f>
        <v>3.4530185129913356E-2</v>
      </c>
    </row>
    <row r="160" spans="1:8" x14ac:dyDescent="0.25">
      <c r="A160" s="8">
        <v>43406</v>
      </c>
      <c r="B160" s="4">
        <v>217.729996</v>
      </c>
      <c r="C160" s="4">
        <v>222</v>
      </c>
      <c r="D160" s="4">
        <v>210.21000699999999</v>
      </c>
      <c r="E160" s="4">
        <v>214.91999799999999</v>
      </c>
      <c r="F160" s="4">
        <v>214.484116</v>
      </c>
      <c r="G160" s="11">
        <v>11324000</v>
      </c>
      <c r="H160" s="3">
        <f>(NVDA[[#This Row],[Close]]-E159)/E159</f>
        <v>-1.4625661296475894E-2</v>
      </c>
    </row>
    <row r="161" spans="1:8" x14ac:dyDescent="0.25">
      <c r="A161" s="8">
        <v>43409</v>
      </c>
      <c r="B161" s="4">
        <v>214.38999899999999</v>
      </c>
      <c r="C161" s="4">
        <v>215.33000200000001</v>
      </c>
      <c r="D161" s="4">
        <v>205.279999</v>
      </c>
      <c r="E161" s="4">
        <v>211.770004</v>
      </c>
      <c r="F161" s="4">
        <v>211.34051500000001</v>
      </c>
      <c r="G161" s="11">
        <v>9483300</v>
      </c>
      <c r="H161" s="3">
        <f>(NVDA[[#This Row],[Close]]-E160)/E160</f>
        <v>-1.4656588634436859E-2</v>
      </c>
    </row>
    <row r="162" spans="1:8" x14ac:dyDescent="0.25">
      <c r="A162" s="8">
        <v>43410</v>
      </c>
      <c r="B162" s="4">
        <v>211.449997</v>
      </c>
      <c r="C162" s="4">
        <v>214.85000600000001</v>
      </c>
      <c r="D162" s="4">
        <v>209.55999800000001</v>
      </c>
      <c r="E162" s="4">
        <v>211.05999800000001</v>
      </c>
      <c r="F162" s="4">
        <v>210.63194300000001</v>
      </c>
      <c r="G162" s="11">
        <v>7475300</v>
      </c>
      <c r="H162" s="3">
        <f>(NVDA[[#This Row],[Close]]-E161)/E161</f>
        <v>-3.3527222297261364E-3</v>
      </c>
    </row>
    <row r="163" spans="1:8" x14ac:dyDescent="0.25">
      <c r="A163" s="8">
        <v>43411</v>
      </c>
      <c r="B163" s="4">
        <v>213.75</v>
      </c>
      <c r="C163" s="4">
        <v>217.41000399999999</v>
      </c>
      <c r="D163" s="4">
        <v>211.179993</v>
      </c>
      <c r="E163" s="4">
        <v>213.78999300000001</v>
      </c>
      <c r="F163" s="4">
        <v>213.35640000000001</v>
      </c>
      <c r="G163" s="11">
        <v>12095300</v>
      </c>
      <c r="H163" s="3">
        <f>(NVDA[[#This Row],[Close]]-E162)/E162</f>
        <v>1.2934686941482879E-2</v>
      </c>
    </row>
    <row r="164" spans="1:8" x14ac:dyDescent="0.25">
      <c r="A164" s="8">
        <v>43412</v>
      </c>
      <c r="B164" s="4">
        <v>211.39999399999999</v>
      </c>
      <c r="C164" s="4">
        <v>211.429993</v>
      </c>
      <c r="D164" s="4">
        <v>203.83000200000001</v>
      </c>
      <c r="E164" s="4">
        <v>205.990005</v>
      </c>
      <c r="F164" s="4">
        <v>205.57223500000001</v>
      </c>
      <c r="G164" s="11">
        <v>12783800</v>
      </c>
      <c r="H164" s="3">
        <f>(NVDA[[#This Row],[Close]]-E163)/E163</f>
        <v>-3.6484345644746868E-2</v>
      </c>
    </row>
    <row r="165" spans="1:8" x14ac:dyDescent="0.25">
      <c r="A165" s="8">
        <v>43413</v>
      </c>
      <c r="B165" s="4">
        <v>202.39999399999999</v>
      </c>
      <c r="C165" s="4">
        <v>209.320007</v>
      </c>
      <c r="D165" s="4">
        <v>201.03999300000001</v>
      </c>
      <c r="E165" s="4">
        <v>205.66999799999999</v>
      </c>
      <c r="F165" s="4">
        <v>205.25288399999999</v>
      </c>
      <c r="G165" s="11">
        <v>10331000</v>
      </c>
      <c r="H165" s="3">
        <f>(NVDA[[#This Row],[Close]]-E164)/E164</f>
        <v>-1.5535074141097473E-3</v>
      </c>
    </row>
    <row r="166" spans="1:8" x14ac:dyDescent="0.25">
      <c r="A166" s="8">
        <v>43416</v>
      </c>
      <c r="B166" s="4">
        <v>201.979996</v>
      </c>
      <c r="C166" s="4">
        <v>202.86999499999999</v>
      </c>
      <c r="D166" s="4">
        <v>188.66000399999999</v>
      </c>
      <c r="E166" s="4">
        <v>189.53999300000001</v>
      </c>
      <c r="F166" s="4">
        <v>189.15559400000001</v>
      </c>
      <c r="G166" s="11">
        <v>15427900</v>
      </c>
      <c r="H166" s="3">
        <f>(NVDA[[#This Row],[Close]]-E165)/E165</f>
        <v>-7.8426630801056274E-2</v>
      </c>
    </row>
    <row r="167" spans="1:8" x14ac:dyDescent="0.25">
      <c r="A167" s="8">
        <v>43417</v>
      </c>
      <c r="B167" s="4">
        <v>193.490005</v>
      </c>
      <c r="C167" s="4">
        <v>204.21000699999999</v>
      </c>
      <c r="D167" s="4">
        <v>193.240005</v>
      </c>
      <c r="E167" s="4">
        <v>199.30999800000001</v>
      </c>
      <c r="F167" s="4">
        <v>198.905777</v>
      </c>
      <c r="G167" s="11">
        <v>16117800</v>
      </c>
      <c r="H167" s="3">
        <f>(NVDA[[#This Row],[Close]]-E166)/E166</f>
        <v>5.1545876125467606E-2</v>
      </c>
    </row>
    <row r="168" spans="1:8" x14ac:dyDescent="0.25">
      <c r="A168" s="8">
        <v>43418</v>
      </c>
      <c r="B168" s="4">
        <v>206.300003</v>
      </c>
      <c r="C168" s="4">
        <v>206.88000500000001</v>
      </c>
      <c r="D168" s="4">
        <v>192.83000200000001</v>
      </c>
      <c r="E168" s="4">
        <v>197.19000199999999</v>
      </c>
      <c r="F168" s="4">
        <v>196.790085</v>
      </c>
      <c r="G168" s="11">
        <v>13164500</v>
      </c>
      <c r="H168" s="3">
        <f>(NVDA[[#This Row],[Close]]-E167)/E167</f>
        <v>-1.0636676640777522E-2</v>
      </c>
    </row>
    <row r="169" spans="1:8" x14ac:dyDescent="0.25">
      <c r="A169" s="8">
        <v>43419</v>
      </c>
      <c r="B169" s="4">
        <v>196.949997</v>
      </c>
      <c r="C169" s="4">
        <v>205.300003</v>
      </c>
      <c r="D169" s="4">
        <v>195.5</v>
      </c>
      <c r="E169" s="4">
        <v>202.38999899999999</v>
      </c>
      <c r="F169" s="4">
        <v>201.97953799999999</v>
      </c>
      <c r="G169" s="11">
        <v>21017700</v>
      </c>
      <c r="H169" s="3">
        <f>(NVDA[[#This Row],[Close]]-E168)/E168</f>
        <v>2.6370490122516438E-2</v>
      </c>
    </row>
    <row r="170" spans="1:8" x14ac:dyDescent="0.25">
      <c r="A170" s="8">
        <v>43420</v>
      </c>
      <c r="B170" s="4">
        <v>163.320007</v>
      </c>
      <c r="C170" s="4">
        <v>170.66000399999999</v>
      </c>
      <c r="D170" s="4">
        <v>161.61000100000001</v>
      </c>
      <c r="E170" s="4">
        <v>164.429993</v>
      </c>
      <c r="F170" s="4">
        <v>164.09652700000001</v>
      </c>
      <c r="G170" s="11">
        <v>49088000</v>
      </c>
      <c r="H170" s="3">
        <f>(NVDA[[#This Row],[Close]]-E169)/E169</f>
        <v>-0.1875587044199748</v>
      </c>
    </row>
    <row r="171" spans="1:8" x14ac:dyDescent="0.25">
      <c r="A171" s="8">
        <v>43423</v>
      </c>
      <c r="B171" s="4">
        <v>161.78999300000001</v>
      </c>
      <c r="C171" s="4">
        <v>161.820007</v>
      </c>
      <c r="D171" s="4">
        <v>144.63000500000001</v>
      </c>
      <c r="E171" s="4">
        <v>144.699997</v>
      </c>
      <c r="F171" s="4">
        <v>144.40652499999999</v>
      </c>
      <c r="G171" s="11">
        <v>42445500</v>
      </c>
      <c r="H171" s="3">
        <f>(NVDA[[#This Row],[Close]]-E170)/E170</f>
        <v>-0.11999025019723744</v>
      </c>
    </row>
    <row r="172" spans="1:8" x14ac:dyDescent="0.25">
      <c r="A172" s="8">
        <v>43424</v>
      </c>
      <c r="B172" s="4">
        <v>134.05999800000001</v>
      </c>
      <c r="C172" s="4">
        <v>154.259995</v>
      </c>
      <c r="D172" s="4">
        <v>133.30999800000001</v>
      </c>
      <c r="E172" s="4">
        <v>149.08000200000001</v>
      </c>
      <c r="F172" s="4">
        <v>148.777649</v>
      </c>
      <c r="G172" s="11">
        <v>42300800</v>
      </c>
      <c r="H172" s="3">
        <f>(NVDA[[#This Row],[Close]]-E171)/E171</f>
        <v>3.0269558333163003E-2</v>
      </c>
    </row>
    <row r="173" spans="1:8" x14ac:dyDescent="0.25">
      <c r="A173" s="8">
        <v>43425</v>
      </c>
      <c r="B173" s="4">
        <v>154.61999499999999</v>
      </c>
      <c r="C173" s="4">
        <v>155.300003</v>
      </c>
      <c r="D173" s="4">
        <v>143.61000100000001</v>
      </c>
      <c r="E173" s="4">
        <v>144.71000699999999</v>
      </c>
      <c r="F173" s="4">
        <v>144.41651899999999</v>
      </c>
      <c r="G173" s="11">
        <v>25637400</v>
      </c>
      <c r="H173" s="3">
        <f>(NVDA[[#This Row],[Close]]-E172)/E172</f>
        <v>-2.9313086539937239E-2</v>
      </c>
    </row>
    <row r="174" spans="1:8" x14ac:dyDescent="0.25">
      <c r="A174" s="8">
        <v>43427</v>
      </c>
      <c r="B174" s="4">
        <v>143.30999800000001</v>
      </c>
      <c r="C174" s="4">
        <v>149.58999600000001</v>
      </c>
      <c r="D174" s="4">
        <v>142.78999300000001</v>
      </c>
      <c r="E174" s="4">
        <v>145</v>
      </c>
      <c r="F174" s="4">
        <v>144.705917</v>
      </c>
      <c r="G174" s="11">
        <v>10299200</v>
      </c>
      <c r="H174" s="3">
        <f>(NVDA[[#This Row],[Close]]-E173)/E173</f>
        <v>2.0039595464880996E-3</v>
      </c>
    </row>
    <row r="175" spans="1:8" x14ac:dyDescent="0.25">
      <c r="A175" s="8">
        <v>43430</v>
      </c>
      <c r="B175" s="4">
        <v>149.88999899999999</v>
      </c>
      <c r="C175" s="4">
        <v>153.470001</v>
      </c>
      <c r="D175" s="4">
        <v>146.55999800000001</v>
      </c>
      <c r="E175" s="4">
        <v>153.050003</v>
      </c>
      <c r="F175" s="4">
        <v>152.739609</v>
      </c>
      <c r="G175" s="11">
        <v>20370800</v>
      </c>
      <c r="H175" s="3">
        <f>(NVDA[[#This Row],[Close]]-E174)/E174</f>
        <v>5.5517262068965546E-2</v>
      </c>
    </row>
    <row r="176" spans="1:8" x14ac:dyDescent="0.25">
      <c r="A176" s="8">
        <v>43431</v>
      </c>
      <c r="B176" s="4">
        <v>152</v>
      </c>
      <c r="C176" s="4">
        <v>157.009995</v>
      </c>
      <c r="D176" s="4">
        <v>150.550003</v>
      </c>
      <c r="E176" s="4">
        <v>153.729996</v>
      </c>
      <c r="F176" s="4">
        <v>153.41821300000001</v>
      </c>
      <c r="G176" s="11">
        <v>18451500</v>
      </c>
      <c r="H176" s="3">
        <f>(NVDA[[#This Row],[Close]]-E175)/E175</f>
        <v>4.4429466623401243E-3</v>
      </c>
    </row>
    <row r="177" spans="1:8" x14ac:dyDescent="0.25">
      <c r="A177" s="8">
        <v>43432</v>
      </c>
      <c r="B177" s="4">
        <v>158.479996</v>
      </c>
      <c r="C177" s="4">
        <v>160.279999</v>
      </c>
      <c r="D177" s="4">
        <v>153.13000500000001</v>
      </c>
      <c r="E177" s="4">
        <v>160.070007</v>
      </c>
      <c r="F177" s="4">
        <v>159.745361</v>
      </c>
      <c r="G177" s="11">
        <v>20113100</v>
      </c>
      <c r="H177" s="3">
        <f>(NVDA[[#This Row],[Close]]-E176)/E176</f>
        <v>4.1241209685584097E-2</v>
      </c>
    </row>
    <row r="178" spans="1:8" x14ac:dyDescent="0.25">
      <c r="A178" s="8">
        <v>43433</v>
      </c>
      <c r="B178" s="4">
        <v>160</v>
      </c>
      <c r="C178" s="4">
        <v>161.5</v>
      </c>
      <c r="D178" s="4">
        <v>156.13999899999999</v>
      </c>
      <c r="E178" s="4">
        <v>157.36000100000001</v>
      </c>
      <c r="F178" s="4">
        <v>157.19799800000001</v>
      </c>
      <c r="G178" s="11">
        <v>13729300</v>
      </c>
      <c r="H178" s="3">
        <f>(NVDA[[#This Row],[Close]]-E177)/E177</f>
        <v>-1.6930129827507242E-2</v>
      </c>
    </row>
    <row r="179" spans="1:8" x14ac:dyDescent="0.25">
      <c r="A179" s="8">
        <v>43434</v>
      </c>
      <c r="B179" s="4">
        <v>157.75</v>
      </c>
      <c r="C179" s="4">
        <v>163.86000100000001</v>
      </c>
      <c r="D179" s="4">
        <v>155.720001</v>
      </c>
      <c r="E179" s="4">
        <v>163.429993</v>
      </c>
      <c r="F179" s="4">
        <v>163.26173399999999</v>
      </c>
      <c r="G179" s="11">
        <v>18239100</v>
      </c>
      <c r="H179" s="3">
        <f>(NVDA[[#This Row],[Close]]-E178)/E178</f>
        <v>3.8573919429499649E-2</v>
      </c>
    </row>
    <row r="180" spans="1:8" x14ac:dyDescent="0.25">
      <c r="A180" s="8">
        <v>43437</v>
      </c>
      <c r="B180" s="4">
        <v>172.60000600000001</v>
      </c>
      <c r="C180" s="4">
        <v>174.679993</v>
      </c>
      <c r="D180" s="4">
        <v>167.33999600000001</v>
      </c>
      <c r="E180" s="4">
        <v>170.03999300000001</v>
      </c>
      <c r="F180" s="4">
        <v>169.86492899999999</v>
      </c>
      <c r="G180" s="11">
        <v>22270100</v>
      </c>
      <c r="H180" s="3">
        <f>(NVDA[[#This Row],[Close]]-E179)/E179</f>
        <v>4.0445452384006486E-2</v>
      </c>
    </row>
    <row r="181" spans="1:8" x14ac:dyDescent="0.25">
      <c r="A181" s="8">
        <v>43438</v>
      </c>
      <c r="B181" s="4">
        <v>168.240005</v>
      </c>
      <c r="C181" s="4">
        <v>168.44000199999999</v>
      </c>
      <c r="D181" s="4">
        <v>156.5</v>
      </c>
      <c r="E181" s="4">
        <v>157.11000100000001</v>
      </c>
      <c r="F181" s="4">
        <v>156.94824199999999</v>
      </c>
      <c r="G181" s="11">
        <v>20302800</v>
      </c>
      <c r="H181" s="3">
        <f>(NVDA[[#This Row],[Close]]-E180)/E180</f>
        <v>-7.604088762812404E-2</v>
      </c>
    </row>
    <row r="182" spans="1:8" x14ac:dyDescent="0.25">
      <c r="A182" s="8">
        <v>43440</v>
      </c>
      <c r="B182" s="4">
        <v>151.44000199999999</v>
      </c>
      <c r="C182" s="4">
        <v>158.490005</v>
      </c>
      <c r="D182" s="4">
        <v>150.80999800000001</v>
      </c>
      <c r="E182" s="4">
        <v>158.28999300000001</v>
      </c>
      <c r="F182" s="4">
        <v>158.12702899999999</v>
      </c>
      <c r="G182" s="11">
        <v>17307700</v>
      </c>
      <c r="H182" s="3">
        <f>(NVDA[[#This Row],[Close]]-E181)/E181</f>
        <v>7.5106103525516398E-3</v>
      </c>
    </row>
    <row r="183" spans="1:8" x14ac:dyDescent="0.25">
      <c r="A183" s="8">
        <v>43441</v>
      </c>
      <c r="B183" s="4">
        <v>158.46000699999999</v>
      </c>
      <c r="C183" s="4">
        <v>158.86999499999999</v>
      </c>
      <c r="D183" s="4">
        <v>145.61999499999999</v>
      </c>
      <c r="E183" s="4">
        <v>147.61000100000001</v>
      </c>
      <c r="F183" s="4">
        <v>147.458023</v>
      </c>
      <c r="G183" s="11">
        <v>17041900</v>
      </c>
      <c r="H183" s="3">
        <f>(NVDA[[#This Row],[Close]]-E182)/E182</f>
        <v>-6.7471049796559143E-2</v>
      </c>
    </row>
    <row r="184" spans="1:8" x14ac:dyDescent="0.25">
      <c r="A184" s="8">
        <v>43444</v>
      </c>
      <c r="B184" s="4">
        <v>145.800003</v>
      </c>
      <c r="C184" s="4">
        <v>152.86000100000001</v>
      </c>
      <c r="D184" s="4">
        <v>145.64999399999999</v>
      </c>
      <c r="E184" s="4">
        <v>151.86000100000001</v>
      </c>
      <c r="F184" s="4">
        <v>151.70365899999999</v>
      </c>
      <c r="G184" s="11">
        <v>15736800</v>
      </c>
      <c r="H184" s="3">
        <f>(NVDA[[#This Row],[Close]]-E183)/E183</f>
        <v>2.8792087061905784E-2</v>
      </c>
    </row>
    <row r="185" spans="1:8" x14ac:dyDescent="0.25">
      <c r="A185" s="8">
        <v>43445</v>
      </c>
      <c r="B185" s="4">
        <v>155.55999800000001</v>
      </c>
      <c r="C185" s="4">
        <v>155.88999899999999</v>
      </c>
      <c r="D185" s="4">
        <v>145</v>
      </c>
      <c r="E185" s="4">
        <v>148.19000199999999</v>
      </c>
      <c r="F185" s="4">
        <v>148.03743</v>
      </c>
      <c r="G185" s="11">
        <v>16797800</v>
      </c>
      <c r="H185" s="3">
        <f>(NVDA[[#This Row],[Close]]-E184)/E184</f>
        <v>-2.4166989173139926E-2</v>
      </c>
    </row>
    <row r="186" spans="1:8" x14ac:dyDescent="0.25">
      <c r="A186" s="8">
        <v>43446</v>
      </c>
      <c r="B186" s="4">
        <v>148.41999799999999</v>
      </c>
      <c r="C186" s="4">
        <v>152.779999</v>
      </c>
      <c r="D186" s="4">
        <v>144.820007</v>
      </c>
      <c r="E186" s="4">
        <v>148.89999399999999</v>
      </c>
      <c r="F186" s="4">
        <v>148.746689</v>
      </c>
      <c r="G186" s="11">
        <v>16353400</v>
      </c>
      <c r="H186" s="3">
        <f>(NVDA[[#This Row],[Close]]-E185)/E185</f>
        <v>4.7910924517026443E-3</v>
      </c>
    </row>
    <row r="187" spans="1:8" x14ac:dyDescent="0.25">
      <c r="A187" s="8">
        <v>43447</v>
      </c>
      <c r="B187" s="4">
        <v>150.78999300000001</v>
      </c>
      <c r="C187" s="4">
        <v>153.38000500000001</v>
      </c>
      <c r="D187" s="4">
        <v>147.44000199999999</v>
      </c>
      <c r="E187" s="4">
        <v>148.88999899999999</v>
      </c>
      <c r="F187" s="4">
        <v>148.73670999999999</v>
      </c>
      <c r="G187" s="11">
        <v>11784600</v>
      </c>
      <c r="H187" s="3">
        <f>(NVDA[[#This Row],[Close]]-E186)/E186</f>
        <v>-6.7125590347596185E-5</v>
      </c>
    </row>
    <row r="188" spans="1:8" x14ac:dyDescent="0.25">
      <c r="A188" s="8">
        <v>43448</v>
      </c>
      <c r="B188" s="4">
        <v>147.21000699999999</v>
      </c>
      <c r="C188" s="4">
        <v>150.58999600000001</v>
      </c>
      <c r="D188" s="4">
        <v>145.5</v>
      </c>
      <c r="E188" s="4">
        <v>146.449997</v>
      </c>
      <c r="F188" s="4">
        <v>146.29922500000001</v>
      </c>
      <c r="G188" s="11">
        <v>11795500</v>
      </c>
      <c r="H188" s="3">
        <f>(NVDA[[#This Row],[Close]]-E187)/E187</f>
        <v>-1.6387950946255246E-2</v>
      </c>
    </row>
    <row r="189" spans="1:8" x14ac:dyDescent="0.25">
      <c r="A189" s="8">
        <v>43451</v>
      </c>
      <c r="B189" s="4">
        <v>145.240005</v>
      </c>
      <c r="C189" s="4">
        <v>148.14999399999999</v>
      </c>
      <c r="D189" s="4">
        <v>141.240005</v>
      </c>
      <c r="E189" s="4">
        <v>143.58000200000001</v>
      </c>
      <c r="F189" s="4">
        <v>143.432175</v>
      </c>
      <c r="G189" s="11">
        <v>16571700</v>
      </c>
      <c r="H189" s="3">
        <f>(NVDA[[#This Row],[Close]]-E188)/E188</f>
        <v>-1.9597098387103339E-2</v>
      </c>
    </row>
    <row r="190" spans="1:8" x14ac:dyDescent="0.25">
      <c r="A190" s="8">
        <v>43452</v>
      </c>
      <c r="B190" s="4">
        <v>145.35000600000001</v>
      </c>
      <c r="C190" s="4">
        <v>150.33000200000001</v>
      </c>
      <c r="D190" s="4">
        <v>144.25</v>
      </c>
      <c r="E190" s="4">
        <v>146.94000199999999</v>
      </c>
      <c r="F190" s="4">
        <v>146.78872699999999</v>
      </c>
      <c r="G190" s="11">
        <v>14109300</v>
      </c>
      <c r="H190" s="3">
        <f>(NVDA[[#This Row],[Close]]-E189)/E189</f>
        <v>2.340158763892471E-2</v>
      </c>
    </row>
    <row r="191" spans="1:8" x14ac:dyDescent="0.25">
      <c r="A191" s="8">
        <v>43453</v>
      </c>
      <c r="B191" s="4">
        <v>145.58000200000001</v>
      </c>
      <c r="C191" s="4">
        <v>147.740005</v>
      </c>
      <c r="D191" s="4">
        <v>136.429993</v>
      </c>
      <c r="E191" s="4">
        <v>138.509995</v>
      </c>
      <c r="F191" s="4">
        <v>138.36738600000001</v>
      </c>
      <c r="G191" s="11">
        <v>18634100</v>
      </c>
      <c r="H191" s="3">
        <f>(NVDA[[#This Row],[Close]]-E190)/E190</f>
        <v>-5.7370402104663029E-2</v>
      </c>
    </row>
    <row r="192" spans="1:8" x14ac:dyDescent="0.25">
      <c r="A192" s="8">
        <v>43454</v>
      </c>
      <c r="B192" s="4">
        <v>138.16999799999999</v>
      </c>
      <c r="C192" s="4">
        <v>141.800003</v>
      </c>
      <c r="D192" s="4">
        <v>132.69000199999999</v>
      </c>
      <c r="E192" s="4">
        <v>135.10000600000001</v>
      </c>
      <c r="F192" s="4">
        <v>134.96090699999999</v>
      </c>
      <c r="G192" s="11">
        <v>18739700</v>
      </c>
      <c r="H192" s="3">
        <f>(NVDA[[#This Row],[Close]]-E191)/E191</f>
        <v>-2.4619082543465516E-2</v>
      </c>
    </row>
    <row r="193" spans="1:8" x14ac:dyDescent="0.25">
      <c r="A193" s="8">
        <v>43455</v>
      </c>
      <c r="B193" s="4">
        <v>136.16999799999999</v>
      </c>
      <c r="C193" s="4">
        <v>137.5</v>
      </c>
      <c r="D193" s="4">
        <v>128.46000699999999</v>
      </c>
      <c r="E193" s="4">
        <v>129.570007</v>
      </c>
      <c r="F193" s="4">
        <v>129.43661499999999</v>
      </c>
      <c r="G193" s="11">
        <v>21593500</v>
      </c>
      <c r="H193" s="3">
        <f>(NVDA[[#This Row],[Close]]-E192)/E192</f>
        <v>-4.0932633267240587E-2</v>
      </c>
    </row>
    <row r="194" spans="1:8" x14ac:dyDescent="0.25">
      <c r="A194" s="8">
        <v>43458</v>
      </c>
      <c r="B194" s="4">
        <v>126.489998</v>
      </c>
      <c r="C194" s="4">
        <v>129.979996</v>
      </c>
      <c r="D194" s="4">
        <v>124.5</v>
      </c>
      <c r="E194" s="4">
        <v>127.08000199999999</v>
      </c>
      <c r="F194" s="4">
        <v>126.94916499999999</v>
      </c>
      <c r="G194" s="11">
        <v>11596000</v>
      </c>
      <c r="H194" s="3">
        <f>(NVDA[[#This Row],[Close]]-E193)/E193</f>
        <v>-1.9217448988792681E-2</v>
      </c>
    </row>
    <row r="195" spans="1:8" x14ac:dyDescent="0.25">
      <c r="A195" s="8">
        <v>43460</v>
      </c>
      <c r="B195" s="4">
        <v>128.94000199999999</v>
      </c>
      <c r="C195" s="4">
        <v>133.13999899999999</v>
      </c>
      <c r="D195" s="4">
        <v>124.459999</v>
      </c>
      <c r="E195" s="4">
        <v>133.10000600000001</v>
      </c>
      <c r="F195" s="4">
        <v>132.96296699999999</v>
      </c>
      <c r="G195" s="11">
        <v>17377500</v>
      </c>
      <c r="H195" s="3">
        <f>(NVDA[[#This Row],[Close]]-E194)/E194</f>
        <v>4.737176507126601E-2</v>
      </c>
    </row>
    <row r="196" spans="1:8" x14ac:dyDescent="0.25">
      <c r="A196" s="8">
        <v>43461</v>
      </c>
      <c r="B196" s="4">
        <v>130.990005</v>
      </c>
      <c r="C196" s="4">
        <v>132.38000500000001</v>
      </c>
      <c r="D196" s="4">
        <v>125.18</v>
      </c>
      <c r="E196" s="4">
        <v>131.16999799999999</v>
      </c>
      <c r="F196" s="4">
        <v>131.03495799999999</v>
      </c>
      <c r="G196" s="11">
        <v>15926100</v>
      </c>
      <c r="H196" s="3">
        <f>(NVDA[[#This Row],[Close]]-E195)/E195</f>
        <v>-1.4500435108921144E-2</v>
      </c>
    </row>
    <row r="197" spans="1:8" x14ac:dyDescent="0.25">
      <c r="A197" s="8">
        <v>43462</v>
      </c>
      <c r="B197" s="4">
        <v>132</v>
      </c>
      <c r="C197" s="4">
        <v>137.38999899999999</v>
      </c>
      <c r="D197" s="4">
        <v>130.30999800000001</v>
      </c>
      <c r="E197" s="4">
        <v>133.64999399999999</v>
      </c>
      <c r="F197" s="4">
        <v>133.51239000000001</v>
      </c>
      <c r="G197" s="11">
        <v>15718200</v>
      </c>
      <c r="H197" s="3">
        <f>(NVDA[[#This Row],[Close]]-E196)/E196</f>
        <v>1.890673201047087E-2</v>
      </c>
    </row>
    <row r="198" spans="1:8" x14ac:dyDescent="0.25">
      <c r="A198" s="8">
        <v>43465</v>
      </c>
      <c r="B198" s="4">
        <v>135.39999399999999</v>
      </c>
      <c r="C198" s="4">
        <v>136.71000699999999</v>
      </c>
      <c r="D198" s="4">
        <v>132.259995</v>
      </c>
      <c r="E198" s="4">
        <v>133.5</v>
      </c>
      <c r="F198" s="4">
        <v>133.362549</v>
      </c>
      <c r="G198" s="11">
        <v>11628500</v>
      </c>
      <c r="H198" s="3">
        <f>(NVDA[[#This Row],[Close]]-E197)/E197</f>
        <v>-1.1222896126728775E-3</v>
      </c>
    </row>
    <row r="199" spans="1:8" x14ac:dyDescent="0.25">
      <c r="A199" s="8">
        <v>43467</v>
      </c>
      <c r="B199" s="4">
        <v>130.63999899999999</v>
      </c>
      <c r="C199" s="4">
        <v>138.479996</v>
      </c>
      <c r="D199" s="4">
        <v>130.050003</v>
      </c>
      <c r="E199" s="4">
        <v>136.220001</v>
      </c>
      <c r="F199" s="4">
        <v>136.079758</v>
      </c>
      <c r="G199" s="11">
        <v>12718800</v>
      </c>
      <c r="H199" s="3">
        <f>(NVDA[[#This Row],[Close]]-E198)/E198</f>
        <v>2.0374539325842669E-2</v>
      </c>
    </row>
    <row r="200" spans="1:8" x14ac:dyDescent="0.25">
      <c r="A200" s="8">
        <v>43468</v>
      </c>
      <c r="B200" s="4">
        <v>133.78999300000001</v>
      </c>
      <c r="C200" s="4">
        <v>135.16000399999999</v>
      </c>
      <c r="D200" s="4">
        <v>127.69000200000001</v>
      </c>
      <c r="E200" s="4">
        <v>127.989998</v>
      </c>
      <c r="F200" s="4">
        <v>127.858223</v>
      </c>
      <c r="G200" s="11">
        <v>17638800</v>
      </c>
      <c r="H200" s="3">
        <f>(NVDA[[#This Row],[Close]]-E199)/E199</f>
        <v>-6.0416994124086056E-2</v>
      </c>
    </row>
    <row r="201" spans="1:8" x14ac:dyDescent="0.25">
      <c r="A201" s="8">
        <v>43469</v>
      </c>
      <c r="B201" s="4">
        <v>130.94000199999999</v>
      </c>
      <c r="C201" s="4">
        <v>137.729996</v>
      </c>
      <c r="D201" s="4">
        <v>129.699997</v>
      </c>
      <c r="E201" s="4">
        <v>136.19000199999999</v>
      </c>
      <c r="F201" s="4">
        <v>136.049789</v>
      </c>
      <c r="G201" s="11">
        <v>14640500</v>
      </c>
      <c r="H201" s="3">
        <f>(NVDA[[#This Row],[Close]]-E200)/E200</f>
        <v>6.4067537527424542E-2</v>
      </c>
    </row>
    <row r="202" spans="1:8" x14ac:dyDescent="0.25">
      <c r="A202" s="8">
        <v>43472</v>
      </c>
      <c r="B202" s="4">
        <v>138.5</v>
      </c>
      <c r="C202" s="4">
        <v>144.88999899999999</v>
      </c>
      <c r="D202" s="4">
        <v>136.429993</v>
      </c>
      <c r="E202" s="4">
        <v>143.39999399999999</v>
      </c>
      <c r="F202" s="4">
        <v>143.25235000000001</v>
      </c>
      <c r="G202" s="11">
        <v>17729000</v>
      </c>
      <c r="H202" s="3">
        <f>(NVDA[[#This Row],[Close]]-E201)/E201</f>
        <v>5.2940685029140393E-2</v>
      </c>
    </row>
    <row r="203" spans="1:8" x14ac:dyDescent="0.25">
      <c r="A203" s="8">
        <v>43473</v>
      </c>
      <c r="B203" s="4">
        <v>146.69000199999999</v>
      </c>
      <c r="C203" s="4">
        <v>146.779999</v>
      </c>
      <c r="D203" s="4">
        <v>136.89999399999999</v>
      </c>
      <c r="E203" s="4">
        <v>139.83000200000001</v>
      </c>
      <c r="F203" s="4">
        <v>139.686035</v>
      </c>
      <c r="G203" s="11">
        <v>19650400</v>
      </c>
      <c r="H203" s="3">
        <f>(NVDA[[#This Row],[Close]]-E202)/E202</f>
        <v>-2.4895342743180206E-2</v>
      </c>
    </row>
    <row r="204" spans="1:8" x14ac:dyDescent="0.25">
      <c r="A204" s="8">
        <v>43474</v>
      </c>
      <c r="B204" s="4">
        <v>141.89999399999999</v>
      </c>
      <c r="C204" s="4">
        <v>144.490005</v>
      </c>
      <c r="D204" s="4">
        <v>139.86000100000001</v>
      </c>
      <c r="E204" s="4">
        <v>142.58000200000001</v>
      </c>
      <c r="F204" s="4">
        <v>142.433212</v>
      </c>
      <c r="G204" s="11">
        <v>15431500</v>
      </c>
      <c r="H204" s="3">
        <f>(NVDA[[#This Row],[Close]]-E203)/E203</f>
        <v>1.9666737900783264E-2</v>
      </c>
    </row>
    <row r="205" spans="1:8" x14ac:dyDescent="0.25">
      <c r="A205" s="8">
        <v>43475</v>
      </c>
      <c r="B205" s="4">
        <v>141.800003</v>
      </c>
      <c r="C205" s="4">
        <v>145.58000200000001</v>
      </c>
      <c r="D205" s="4">
        <v>139.36000100000001</v>
      </c>
      <c r="E205" s="4">
        <v>145.229996</v>
      </c>
      <c r="F205" s="4">
        <v>145.08047500000001</v>
      </c>
      <c r="G205" s="11">
        <v>13078900</v>
      </c>
      <c r="H205" s="3">
        <f>(NVDA[[#This Row],[Close]]-E204)/E204</f>
        <v>1.8586014608135526E-2</v>
      </c>
    </row>
    <row r="206" spans="1:8" x14ac:dyDescent="0.25">
      <c r="A206" s="8">
        <v>43476</v>
      </c>
      <c r="B206" s="4">
        <v>144.33000200000001</v>
      </c>
      <c r="C206" s="4">
        <v>149.75</v>
      </c>
      <c r="D206" s="4">
        <v>143.21000699999999</v>
      </c>
      <c r="E206" s="4">
        <v>148.83000200000001</v>
      </c>
      <c r="F206" s="4">
        <v>148.676773</v>
      </c>
      <c r="G206" s="11">
        <v>21869100</v>
      </c>
      <c r="H206" s="3">
        <f>(NVDA[[#This Row],[Close]]-E205)/E205</f>
        <v>2.4788308883517476E-2</v>
      </c>
    </row>
    <row r="207" spans="1:8" x14ac:dyDescent="0.25">
      <c r="A207" s="8">
        <v>43479</v>
      </c>
      <c r="B207" s="4">
        <v>146.720001</v>
      </c>
      <c r="C207" s="4">
        <v>151.46000699999999</v>
      </c>
      <c r="D207" s="4">
        <v>145.770004</v>
      </c>
      <c r="E207" s="4">
        <v>150.44000199999999</v>
      </c>
      <c r="F207" s="4">
        <v>150.28511</v>
      </c>
      <c r="G207" s="11">
        <v>18254200</v>
      </c>
      <c r="H207" s="3">
        <f>(NVDA[[#This Row],[Close]]-E206)/E206</f>
        <v>1.0817711337529816E-2</v>
      </c>
    </row>
    <row r="208" spans="1:8" x14ac:dyDescent="0.25">
      <c r="A208" s="8">
        <v>43480</v>
      </c>
      <c r="B208" s="4">
        <v>151.759995</v>
      </c>
      <c r="C208" s="4">
        <v>153.35000600000001</v>
      </c>
      <c r="D208" s="4">
        <v>149.13000500000001</v>
      </c>
      <c r="E208" s="4">
        <v>149.86999499999999</v>
      </c>
      <c r="F208" s="4">
        <v>149.715698</v>
      </c>
      <c r="G208" s="11">
        <v>15425300</v>
      </c>
      <c r="H208" s="3">
        <f>(NVDA[[#This Row],[Close]]-E207)/E207</f>
        <v>-3.7889324143986912E-3</v>
      </c>
    </row>
    <row r="209" spans="1:8" x14ac:dyDescent="0.25">
      <c r="A209" s="8">
        <v>43481</v>
      </c>
      <c r="B209" s="4">
        <v>150.970001</v>
      </c>
      <c r="C209" s="4">
        <v>152.300003</v>
      </c>
      <c r="D209" s="4">
        <v>148.61999499999999</v>
      </c>
      <c r="E209" s="4">
        <v>148.83999600000001</v>
      </c>
      <c r="F209" s="4">
        <v>148.68675200000001</v>
      </c>
      <c r="G209" s="11">
        <v>11752600</v>
      </c>
      <c r="H209" s="3">
        <f>(NVDA[[#This Row],[Close]]-E208)/E208</f>
        <v>-6.8726164967175402E-3</v>
      </c>
    </row>
    <row r="210" spans="1:8" x14ac:dyDescent="0.25">
      <c r="A210" s="8">
        <v>43482</v>
      </c>
      <c r="B210" s="4">
        <v>147.509995</v>
      </c>
      <c r="C210" s="4">
        <v>153.33000200000001</v>
      </c>
      <c r="D210" s="4">
        <v>146.41000399999999</v>
      </c>
      <c r="E210" s="4">
        <v>151.720001</v>
      </c>
      <c r="F210" s="4">
        <v>151.56379699999999</v>
      </c>
      <c r="G210" s="11">
        <v>12335900</v>
      </c>
      <c r="H210" s="3">
        <f>(NVDA[[#This Row],[Close]]-E209)/E209</f>
        <v>1.9349671307435284E-2</v>
      </c>
    </row>
    <row r="211" spans="1:8" x14ac:dyDescent="0.25">
      <c r="A211" s="8">
        <v>43483</v>
      </c>
      <c r="B211" s="4">
        <v>153.729996</v>
      </c>
      <c r="C211" s="4">
        <v>157.979996</v>
      </c>
      <c r="D211" s="4">
        <v>151.64999399999999</v>
      </c>
      <c r="E211" s="4">
        <v>156.929993</v>
      </c>
      <c r="F211" s="4">
        <v>156.76843299999999</v>
      </c>
      <c r="G211" s="11">
        <v>16283400</v>
      </c>
      <c r="H211" s="3">
        <f>(NVDA[[#This Row],[Close]]-E210)/E210</f>
        <v>3.4339519942397048E-2</v>
      </c>
    </row>
    <row r="212" spans="1:8" x14ac:dyDescent="0.25">
      <c r="A212" s="8">
        <v>43487</v>
      </c>
      <c r="B212" s="4">
        <v>155.71000699999999</v>
      </c>
      <c r="C212" s="4">
        <v>156.179993</v>
      </c>
      <c r="D212" s="4">
        <v>147.550003</v>
      </c>
      <c r="E212" s="4">
        <v>148.770004</v>
      </c>
      <c r="F212" s="4">
        <v>148.616837</v>
      </c>
      <c r="G212" s="11">
        <v>16538800</v>
      </c>
      <c r="H212" s="3">
        <f>(NVDA[[#This Row],[Close]]-E211)/E211</f>
        <v>-5.1997638208012897E-2</v>
      </c>
    </row>
    <row r="213" spans="1:8" x14ac:dyDescent="0.25">
      <c r="A213" s="8">
        <v>43488</v>
      </c>
      <c r="B213" s="4">
        <v>151</v>
      </c>
      <c r="C213" s="4">
        <v>154.58000200000001</v>
      </c>
      <c r="D213" s="4">
        <v>148.029999</v>
      </c>
      <c r="E213" s="4">
        <v>149.28999300000001</v>
      </c>
      <c r="F213" s="4">
        <v>149.136292</v>
      </c>
      <c r="G213" s="11">
        <v>14775500</v>
      </c>
      <c r="H213" s="3">
        <f>(NVDA[[#This Row],[Close]]-E212)/E212</f>
        <v>3.4952543255965065E-3</v>
      </c>
    </row>
    <row r="214" spans="1:8" x14ac:dyDescent="0.25">
      <c r="A214" s="8">
        <v>43489</v>
      </c>
      <c r="B214" s="4">
        <v>152.699997</v>
      </c>
      <c r="C214" s="4">
        <v>158.550003</v>
      </c>
      <c r="D214" s="4">
        <v>152.509995</v>
      </c>
      <c r="E214" s="4">
        <v>157.83999600000001</v>
      </c>
      <c r="F214" s="4">
        <v>157.67749000000001</v>
      </c>
      <c r="G214" s="11">
        <v>17724300</v>
      </c>
      <c r="H214" s="3">
        <f>(NVDA[[#This Row],[Close]]-E213)/E213</f>
        <v>5.7271105907279421E-2</v>
      </c>
    </row>
    <row r="215" spans="1:8" x14ac:dyDescent="0.25">
      <c r="A215" s="8">
        <v>43490</v>
      </c>
      <c r="B215" s="4">
        <v>155.44000199999999</v>
      </c>
      <c r="C215" s="4">
        <v>160.88000500000001</v>
      </c>
      <c r="D215" s="4">
        <v>151.300003</v>
      </c>
      <c r="E215" s="4">
        <v>160.14999399999999</v>
      </c>
      <c r="F215" s="4">
        <v>159.985107</v>
      </c>
      <c r="G215" s="11">
        <v>28864300</v>
      </c>
      <c r="H215" s="3">
        <f>(NVDA[[#This Row],[Close]]-E214)/E214</f>
        <v>1.4635061191967964E-2</v>
      </c>
    </row>
    <row r="216" spans="1:8" x14ac:dyDescent="0.25">
      <c r="A216" s="8">
        <v>43493</v>
      </c>
      <c r="B216" s="4">
        <v>136.550003</v>
      </c>
      <c r="C216" s="4">
        <v>141.63999899999999</v>
      </c>
      <c r="D216" s="4">
        <v>131</v>
      </c>
      <c r="E216" s="4">
        <v>138.009995</v>
      </c>
      <c r="F216" s="4">
        <v>137.86790500000001</v>
      </c>
      <c r="G216" s="11">
        <v>62788200</v>
      </c>
      <c r="H216" s="3">
        <f>(NVDA[[#This Row],[Close]]-E215)/E215</f>
        <v>-0.13824539387744211</v>
      </c>
    </row>
    <row r="217" spans="1:8" x14ac:dyDescent="0.25">
      <c r="A217" s="8">
        <v>43494</v>
      </c>
      <c r="B217" s="4">
        <v>136.14999399999999</v>
      </c>
      <c r="C217" s="4">
        <v>138.10000600000001</v>
      </c>
      <c r="D217" s="4">
        <v>131.009995</v>
      </c>
      <c r="E217" s="4">
        <v>131.60000600000001</v>
      </c>
      <c r="F217" s="4">
        <v>131.46452300000001</v>
      </c>
      <c r="G217" s="11">
        <v>28848300</v>
      </c>
      <c r="H217" s="3">
        <f>(NVDA[[#This Row],[Close]]-E216)/E216</f>
        <v>-4.6445831695015968E-2</v>
      </c>
    </row>
    <row r="218" spans="1:8" x14ac:dyDescent="0.25">
      <c r="A218" s="8">
        <v>43495</v>
      </c>
      <c r="B218" s="4">
        <v>134.66999799999999</v>
      </c>
      <c r="C218" s="4">
        <v>137.970001</v>
      </c>
      <c r="D218" s="4">
        <v>131.46000699999999</v>
      </c>
      <c r="E218" s="4">
        <v>137.38999899999999</v>
      </c>
      <c r="F218" s="4">
        <v>137.24854999999999</v>
      </c>
      <c r="G218" s="11">
        <v>24355700</v>
      </c>
      <c r="H218" s="3">
        <f>(NVDA[[#This Row],[Close]]-E217)/E217</f>
        <v>4.3996905288894751E-2</v>
      </c>
    </row>
    <row r="219" spans="1:8" x14ac:dyDescent="0.25">
      <c r="A219" s="8">
        <v>43496</v>
      </c>
      <c r="B219" s="4">
        <v>137.259995</v>
      </c>
      <c r="C219" s="4">
        <v>145.19000199999999</v>
      </c>
      <c r="D219" s="4">
        <v>136.38000500000001</v>
      </c>
      <c r="E219" s="4">
        <v>143.75</v>
      </c>
      <c r="F219" s="4">
        <v>143.60200499999999</v>
      </c>
      <c r="G219" s="11">
        <v>21071300</v>
      </c>
      <c r="H219" s="3">
        <f>(NVDA[[#This Row],[Close]]-E218)/E218</f>
        <v>4.62915863330053E-2</v>
      </c>
    </row>
    <row r="220" spans="1:8" x14ac:dyDescent="0.25">
      <c r="A220" s="8">
        <v>43497</v>
      </c>
      <c r="B220" s="4">
        <v>144.5</v>
      </c>
      <c r="C220" s="4">
        <v>146.78999300000001</v>
      </c>
      <c r="D220" s="4">
        <v>142.58000200000001</v>
      </c>
      <c r="E220" s="4">
        <v>144.729996</v>
      </c>
      <c r="F220" s="4">
        <v>144.580994</v>
      </c>
      <c r="G220" s="11">
        <v>15626200</v>
      </c>
      <c r="H220" s="3">
        <f>(NVDA[[#This Row],[Close]]-E219)/E219</f>
        <v>6.8173634782608683E-3</v>
      </c>
    </row>
    <row r="221" spans="1:8" x14ac:dyDescent="0.25">
      <c r="A221" s="8">
        <v>43500</v>
      </c>
      <c r="B221" s="4">
        <v>145.36999499999999</v>
      </c>
      <c r="C221" s="4">
        <v>150.679993</v>
      </c>
      <c r="D221" s="4">
        <v>144.479996</v>
      </c>
      <c r="E221" s="4">
        <v>149.179993</v>
      </c>
      <c r="F221" s="4">
        <v>149.026398</v>
      </c>
      <c r="G221" s="11">
        <v>13214800</v>
      </c>
      <c r="H221" s="3">
        <f>(NVDA[[#This Row],[Close]]-E220)/E220</f>
        <v>3.0746888157172313E-2</v>
      </c>
    </row>
    <row r="222" spans="1:8" x14ac:dyDescent="0.25">
      <c r="A222" s="8">
        <v>43501</v>
      </c>
      <c r="B222" s="4">
        <v>149.66000399999999</v>
      </c>
      <c r="C222" s="4">
        <v>151.429993</v>
      </c>
      <c r="D222" s="4">
        <v>148.300003</v>
      </c>
      <c r="E222" s="4">
        <v>149.949997</v>
      </c>
      <c r="F222" s="4">
        <v>149.79560900000001</v>
      </c>
      <c r="G222" s="11">
        <v>13560600</v>
      </c>
      <c r="H222" s="3">
        <f>(NVDA[[#This Row],[Close]]-E221)/E221</f>
        <v>5.1615768610473135E-3</v>
      </c>
    </row>
    <row r="223" spans="1:8" x14ac:dyDescent="0.25">
      <c r="A223" s="8">
        <v>43502</v>
      </c>
      <c r="B223" s="4">
        <v>151.28999300000001</v>
      </c>
      <c r="C223" s="4">
        <v>155.60000600000001</v>
      </c>
      <c r="D223" s="4">
        <v>151.070007</v>
      </c>
      <c r="E223" s="4">
        <v>153</v>
      </c>
      <c r="F223" s="4">
        <v>152.84248400000001</v>
      </c>
      <c r="G223" s="11">
        <v>17561600</v>
      </c>
      <c r="H223" s="3">
        <f>(NVDA[[#This Row],[Close]]-E222)/E222</f>
        <v>2.0340133784730947E-2</v>
      </c>
    </row>
    <row r="224" spans="1:8" x14ac:dyDescent="0.25">
      <c r="A224" s="8">
        <v>43503</v>
      </c>
      <c r="B224" s="4">
        <v>151.13000500000001</v>
      </c>
      <c r="C224" s="4">
        <v>151.220001</v>
      </c>
      <c r="D224" s="4">
        <v>145.69000199999999</v>
      </c>
      <c r="E224" s="4">
        <v>147.41999799999999</v>
      </c>
      <c r="F224" s="4">
        <v>147.26821899999999</v>
      </c>
      <c r="G224" s="11">
        <v>15928000</v>
      </c>
      <c r="H224" s="3">
        <f>(NVDA[[#This Row],[Close]]-E223)/E223</f>
        <v>-3.6470601307189592E-2</v>
      </c>
    </row>
    <row r="225" spans="1:8" x14ac:dyDescent="0.25">
      <c r="A225" s="8">
        <v>43504</v>
      </c>
      <c r="B225" s="4">
        <v>144.71000699999999</v>
      </c>
      <c r="C225" s="4">
        <v>148.60000600000001</v>
      </c>
      <c r="D225" s="4">
        <v>144.13000500000001</v>
      </c>
      <c r="E225" s="4">
        <v>148.16999799999999</v>
      </c>
      <c r="F225" s="4">
        <v>148.01745600000001</v>
      </c>
      <c r="G225" s="11">
        <v>11540100</v>
      </c>
      <c r="H225" s="3">
        <f>(NVDA[[#This Row],[Close]]-E224)/E224</f>
        <v>5.0875051565256431E-3</v>
      </c>
    </row>
    <row r="226" spans="1:8" x14ac:dyDescent="0.25">
      <c r="A226" s="8">
        <v>43507</v>
      </c>
      <c r="B226" s="4">
        <v>146.38999899999999</v>
      </c>
      <c r="C226" s="4">
        <v>148.58000200000001</v>
      </c>
      <c r="D226" s="4">
        <v>144.5</v>
      </c>
      <c r="E226" s="4">
        <v>146.449997</v>
      </c>
      <c r="F226" s="4">
        <v>146.29922500000001</v>
      </c>
      <c r="G226" s="11">
        <v>12379500</v>
      </c>
      <c r="H226" s="3">
        <f>(NVDA[[#This Row],[Close]]-E225)/E225</f>
        <v>-1.1608294683246175E-2</v>
      </c>
    </row>
    <row r="227" spans="1:8" x14ac:dyDescent="0.25">
      <c r="A227" s="8">
        <v>43508</v>
      </c>
      <c r="B227" s="4">
        <v>148</v>
      </c>
      <c r="C227" s="4">
        <v>151.800003</v>
      </c>
      <c r="D227" s="4">
        <v>147.41999799999999</v>
      </c>
      <c r="E227" s="4">
        <v>151.16999799999999</v>
      </c>
      <c r="F227" s="4">
        <v>151.01435900000001</v>
      </c>
      <c r="G227" s="11">
        <v>14776500</v>
      </c>
      <c r="H227" s="3">
        <f>(NVDA[[#This Row],[Close]]-E226)/E226</f>
        <v>3.2229437328018494E-2</v>
      </c>
    </row>
    <row r="228" spans="1:8" x14ac:dyDescent="0.25">
      <c r="A228" s="8">
        <v>43509</v>
      </c>
      <c r="B228" s="4">
        <v>152.36000100000001</v>
      </c>
      <c r="C228" s="4">
        <v>155.83000200000001</v>
      </c>
      <c r="D228" s="4">
        <v>151.80999800000001</v>
      </c>
      <c r="E228" s="4">
        <v>152.88000500000001</v>
      </c>
      <c r="F228" s="4">
        <v>152.72261</v>
      </c>
      <c r="G228" s="11">
        <v>15134300</v>
      </c>
      <c r="H228" s="3">
        <f>(NVDA[[#This Row],[Close]]-E227)/E227</f>
        <v>1.1311814663118662E-2</v>
      </c>
    </row>
    <row r="229" spans="1:8" x14ac:dyDescent="0.25">
      <c r="A229" s="8">
        <v>43510</v>
      </c>
      <c r="B229" s="4">
        <v>152.83999600000001</v>
      </c>
      <c r="C229" s="4">
        <v>155.66999799999999</v>
      </c>
      <c r="D229" s="4">
        <v>151.10000600000001</v>
      </c>
      <c r="E229" s="4">
        <v>154.529999</v>
      </c>
      <c r="F229" s="4">
        <v>154.37089499999999</v>
      </c>
      <c r="G229" s="11">
        <v>20681600</v>
      </c>
      <c r="H229" s="3">
        <f>(NVDA[[#This Row],[Close]]-E228)/E228</f>
        <v>1.0792739050472901E-2</v>
      </c>
    </row>
    <row r="230" spans="1:8" x14ac:dyDescent="0.25">
      <c r="A230" s="8">
        <v>43511</v>
      </c>
      <c r="B230" s="4">
        <v>162.949997</v>
      </c>
      <c r="C230" s="4">
        <v>163.86999499999999</v>
      </c>
      <c r="D230" s="4">
        <v>156.41999799999999</v>
      </c>
      <c r="E230" s="4">
        <v>157.33999600000001</v>
      </c>
      <c r="F230" s="4">
        <v>157.178009</v>
      </c>
      <c r="G230" s="11">
        <v>37918700</v>
      </c>
      <c r="H230" s="3">
        <f>(NVDA[[#This Row],[Close]]-E229)/E229</f>
        <v>1.8184152062280218E-2</v>
      </c>
    </row>
    <row r="231" spans="1:8" x14ac:dyDescent="0.25">
      <c r="A231" s="8">
        <v>43515</v>
      </c>
      <c r="B231" s="4">
        <v>156.91000399999999</v>
      </c>
      <c r="C231" s="4">
        <v>159.88999899999999</v>
      </c>
      <c r="D231" s="4">
        <v>156.13999899999999</v>
      </c>
      <c r="E231" s="4">
        <v>156.63999899999999</v>
      </c>
      <c r="F231" s="4">
        <v>156.47872899999999</v>
      </c>
      <c r="G231" s="11">
        <v>13797300</v>
      </c>
      <c r="H231" s="3">
        <f>(NVDA[[#This Row],[Close]]-E230)/E230</f>
        <v>-4.4489450730634608E-3</v>
      </c>
    </row>
    <row r="232" spans="1:8" x14ac:dyDescent="0.25">
      <c r="A232" s="8">
        <v>43516</v>
      </c>
      <c r="B232" s="4">
        <v>157.820007</v>
      </c>
      <c r="C232" s="4">
        <v>161.259995</v>
      </c>
      <c r="D232" s="4">
        <v>157.36999499999999</v>
      </c>
      <c r="E232" s="4">
        <v>158.550003</v>
      </c>
      <c r="F232" s="4">
        <v>158.386765</v>
      </c>
      <c r="G232" s="11">
        <v>13524700</v>
      </c>
      <c r="H232" s="3">
        <f>(NVDA[[#This Row],[Close]]-E231)/E231</f>
        <v>1.2193590476210454E-2</v>
      </c>
    </row>
    <row r="233" spans="1:8" x14ac:dyDescent="0.25">
      <c r="A233" s="8">
        <v>43517</v>
      </c>
      <c r="B233" s="4">
        <v>159.05999800000001</v>
      </c>
      <c r="C233" s="4">
        <v>160.050003</v>
      </c>
      <c r="D233" s="4">
        <v>155.179993</v>
      </c>
      <c r="E233" s="4">
        <v>155.770004</v>
      </c>
      <c r="F233" s="4">
        <v>155.609634</v>
      </c>
      <c r="G233" s="11">
        <v>11213700</v>
      </c>
      <c r="H233" s="3">
        <f>(NVDA[[#This Row],[Close]]-E232)/E232</f>
        <v>-1.7533894338683825E-2</v>
      </c>
    </row>
    <row r="234" spans="1:8" x14ac:dyDescent="0.25">
      <c r="A234" s="8">
        <v>43518</v>
      </c>
      <c r="B234" s="4">
        <v>157.86000100000001</v>
      </c>
      <c r="C234" s="4">
        <v>159.949997</v>
      </c>
      <c r="D234" s="4">
        <v>157.30999800000001</v>
      </c>
      <c r="E234" s="4">
        <v>159.19000199999999</v>
      </c>
      <c r="F234" s="4">
        <v>159.02610799999999</v>
      </c>
      <c r="G234" s="11">
        <v>10043500</v>
      </c>
      <c r="H234" s="3">
        <f>(NVDA[[#This Row],[Close]]-E233)/E233</f>
        <v>2.1955433730360515E-2</v>
      </c>
    </row>
    <row r="235" spans="1:8" x14ac:dyDescent="0.25">
      <c r="A235" s="8">
        <v>43521</v>
      </c>
      <c r="B235" s="4">
        <v>162.55999800000001</v>
      </c>
      <c r="C235" s="4">
        <v>165.279999</v>
      </c>
      <c r="D235" s="4">
        <v>158.33999600000001</v>
      </c>
      <c r="E235" s="4">
        <v>158.69000199999999</v>
      </c>
      <c r="F235" s="4">
        <v>158.52662699999999</v>
      </c>
      <c r="G235" s="11">
        <v>16400500</v>
      </c>
      <c r="H235" s="3">
        <f>(NVDA[[#This Row],[Close]]-E234)/E234</f>
        <v>-3.1409007708913779E-3</v>
      </c>
    </row>
    <row r="236" spans="1:8" x14ac:dyDescent="0.25">
      <c r="A236" s="8">
        <v>43522</v>
      </c>
      <c r="B236" s="4">
        <v>158.5</v>
      </c>
      <c r="C236" s="4">
        <v>160.759995</v>
      </c>
      <c r="D236" s="4">
        <v>155.75</v>
      </c>
      <c r="E236" s="4">
        <v>157.10000600000001</v>
      </c>
      <c r="F236" s="4">
        <v>156.93826300000001</v>
      </c>
      <c r="G236" s="11">
        <v>12211600</v>
      </c>
      <c r="H236" s="3">
        <f>(NVDA[[#This Row],[Close]]-E235)/E235</f>
        <v>-1.0019509609685336E-2</v>
      </c>
    </row>
    <row r="237" spans="1:8" x14ac:dyDescent="0.25">
      <c r="A237" s="8">
        <v>43523</v>
      </c>
      <c r="B237" s="4">
        <v>156.520004</v>
      </c>
      <c r="C237" s="4">
        <v>157.58999600000001</v>
      </c>
      <c r="D237" s="4">
        <v>153.11000100000001</v>
      </c>
      <c r="E237" s="4">
        <v>155.41000399999999</v>
      </c>
      <c r="F237" s="4">
        <v>155.25</v>
      </c>
      <c r="G237" s="11">
        <v>12506400</v>
      </c>
      <c r="H237" s="3">
        <f>(NVDA[[#This Row],[Close]]-E236)/E236</f>
        <v>-1.0757491632432026E-2</v>
      </c>
    </row>
    <row r="238" spans="1:8" x14ac:dyDescent="0.25">
      <c r="A238" s="8">
        <v>43524</v>
      </c>
      <c r="B238" s="4">
        <v>155</v>
      </c>
      <c r="C238" s="4">
        <v>155.89999399999999</v>
      </c>
      <c r="D238" s="4">
        <v>153.36000100000001</v>
      </c>
      <c r="E238" s="4">
        <v>154.259995</v>
      </c>
      <c r="F238" s="4">
        <v>154.259995</v>
      </c>
      <c r="G238" s="11">
        <v>8123600</v>
      </c>
      <c r="H238" s="3">
        <f>(NVDA[[#This Row],[Close]]-E237)/E237</f>
        <v>-7.3998389447308879E-3</v>
      </c>
    </row>
    <row r="239" spans="1:8" x14ac:dyDescent="0.25">
      <c r="A239" s="8">
        <v>43525</v>
      </c>
      <c r="B239" s="4">
        <v>156.270004</v>
      </c>
      <c r="C239" s="4">
        <v>158.14999399999999</v>
      </c>
      <c r="D239" s="4">
        <v>153.91999799999999</v>
      </c>
      <c r="E239" s="4">
        <v>156.449997</v>
      </c>
      <c r="F239" s="4">
        <v>156.449997</v>
      </c>
      <c r="G239" s="11">
        <v>8929700</v>
      </c>
      <c r="H239" s="3">
        <f>(NVDA[[#This Row],[Close]]-E238)/E238</f>
        <v>1.4196824004823756E-2</v>
      </c>
    </row>
    <row r="240" spans="1:8" x14ac:dyDescent="0.25">
      <c r="A240" s="8">
        <v>43528</v>
      </c>
      <c r="B240" s="4">
        <v>158</v>
      </c>
      <c r="C240" s="4">
        <v>158.91999799999999</v>
      </c>
      <c r="D240" s="4">
        <v>154.5</v>
      </c>
      <c r="E240" s="4">
        <v>156.779999</v>
      </c>
      <c r="F240" s="4">
        <v>156.779999</v>
      </c>
      <c r="G240" s="11">
        <v>10249800</v>
      </c>
      <c r="H240" s="3">
        <f>(NVDA[[#This Row],[Close]]-E239)/E239</f>
        <v>2.1093129199613054E-3</v>
      </c>
    </row>
    <row r="241" spans="1:8" x14ac:dyDescent="0.25">
      <c r="A241" s="8">
        <v>43529</v>
      </c>
      <c r="B241" s="4">
        <v>156.14999399999999</v>
      </c>
      <c r="C241" s="4">
        <v>158.05999800000001</v>
      </c>
      <c r="D241" s="4">
        <v>153.96000699999999</v>
      </c>
      <c r="E241" s="4">
        <v>156.520004</v>
      </c>
      <c r="F241" s="4">
        <v>156.520004</v>
      </c>
      <c r="G241" s="11">
        <v>9073100</v>
      </c>
      <c r="H241" s="3">
        <f>(NVDA[[#This Row],[Close]]-E240)/E240</f>
        <v>-1.6583429114577525E-3</v>
      </c>
    </row>
    <row r="242" spans="1:8" x14ac:dyDescent="0.25">
      <c r="A242" s="8">
        <v>43530</v>
      </c>
      <c r="B242" s="4">
        <v>156.16000399999999</v>
      </c>
      <c r="C242" s="4">
        <v>156.5</v>
      </c>
      <c r="D242" s="4">
        <v>151.94000199999999</v>
      </c>
      <c r="E242" s="4">
        <v>152.050003</v>
      </c>
      <c r="F242" s="4">
        <v>152.050003</v>
      </c>
      <c r="G242" s="11">
        <v>10088100</v>
      </c>
      <c r="H242" s="3">
        <f>(NVDA[[#This Row],[Close]]-E241)/E241</f>
        <v>-2.8558656310793323E-2</v>
      </c>
    </row>
    <row r="243" spans="1:8" x14ac:dyDescent="0.25">
      <c r="A243" s="8">
        <v>43531</v>
      </c>
      <c r="B243" s="4">
        <v>151.10000600000001</v>
      </c>
      <c r="C243" s="4">
        <v>151.490005</v>
      </c>
      <c r="D243" s="4">
        <v>147.39999399999999</v>
      </c>
      <c r="E243" s="4">
        <v>149.259995</v>
      </c>
      <c r="F243" s="4">
        <v>149.259995</v>
      </c>
      <c r="G243" s="11">
        <v>11252600</v>
      </c>
      <c r="H243" s="3">
        <f>(NVDA[[#This Row],[Close]]-E242)/E242</f>
        <v>-1.8349279480119447E-2</v>
      </c>
    </row>
    <row r="244" spans="1:8" x14ac:dyDescent="0.25">
      <c r="A244" s="8">
        <v>43532</v>
      </c>
      <c r="B244" s="4">
        <v>145.66000399999999</v>
      </c>
      <c r="C244" s="4">
        <v>151.070007</v>
      </c>
      <c r="D244" s="4">
        <v>144.800003</v>
      </c>
      <c r="E244" s="4">
        <v>150.63999899999999</v>
      </c>
      <c r="F244" s="4">
        <v>150.63999899999999</v>
      </c>
      <c r="G244" s="11">
        <v>10560400</v>
      </c>
      <c r="H244" s="3">
        <f>(NVDA[[#This Row],[Close]]-E243)/E243</f>
        <v>9.2456387928995E-3</v>
      </c>
    </row>
    <row r="245" spans="1:8" x14ac:dyDescent="0.25">
      <c r="A245" s="8">
        <v>43535</v>
      </c>
      <c r="B245" s="4">
        <v>151.58999600000001</v>
      </c>
      <c r="C245" s="4">
        <v>162.05999800000001</v>
      </c>
      <c r="D245" s="4">
        <v>149.69000199999999</v>
      </c>
      <c r="E245" s="4">
        <v>161.13999899999999</v>
      </c>
      <c r="F245" s="4">
        <v>161.13999899999999</v>
      </c>
      <c r="G245" s="11">
        <v>21493200</v>
      </c>
      <c r="H245" s="3">
        <f>(NVDA[[#This Row],[Close]]-E244)/E244</f>
        <v>6.9702602693193061E-2</v>
      </c>
    </row>
    <row r="246" spans="1:8" x14ac:dyDescent="0.25">
      <c r="A246" s="8">
        <v>43536</v>
      </c>
      <c r="B246" s="4">
        <v>162.259995</v>
      </c>
      <c r="C246" s="4">
        <v>164.38999899999999</v>
      </c>
      <c r="D246" s="4">
        <v>159.19000199999999</v>
      </c>
      <c r="E246" s="4">
        <v>162.520004</v>
      </c>
      <c r="F246" s="4">
        <v>162.520004</v>
      </c>
      <c r="G246" s="11">
        <v>14489400</v>
      </c>
      <c r="H246" s="3">
        <f>(NVDA[[#This Row],[Close]]-E245)/E245</f>
        <v>8.5640127129454138E-3</v>
      </c>
    </row>
    <row r="247" spans="1:8" x14ac:dyDescent="0.25">
      <c r="A247" s="8">
        <v>43537</v>
      </c>
      <c r="B247" s="4">
        <v>164.029999</v>
      </c>
      <c r="C247" s="4">
        <v>169.800003</v>
      </c>
      <c r="D247" s="4">
        <v>163.729996</v>
      </c>
      <c r="E247" s="4">
        <v>168.61999499999999</v>
      </c>
      <c r="F247" s="4">
        <v>168.61999499999999</v>
      </c>
      <c r="G247" s="11">
        <v>19222500</v>
      </c>
      <c r="H247" s="3">
        <f>(NVDA[[#This Row],[Close]]-E246)/E246</f>
        <v>3.7533785687083716E-2</v>
      </c>
    </row>
    <row r="248" spans="1:8" x14ac:dyDescent="0.25">
      <c r="A248" s="8">
        <v>43538</v>
      </c>
      <c r="B248" s="4">
        <v>168.990005</v>
      </c>
      <c r="C248" s="4">
        <v>169.470001</v>
      </c>
      <c r="D248" s="4">
        <v>165.25</v>
      </c>
      <c r="E248" s="4">
        <v>165.55999800000001</v>
      </c>
      <c r="F248" s="4">
        <v>165.55999800000001</v>
      </c>
      <c r="G248" s="11">
        <v>12984600</v>
      </c>
      <c r="H248" s="3">
        <f>(NVDA[[#This Row],[Close]]-E247)/E247</f>
        <v>-1.814729623257302E-2</v>
      </c>
    </row>
    <row r="249" spans="1:8" x14ac:dyDescent="0.25">
      <c r="A249" s="8">
        <v>43539</v>
      </c>
      <c r="B249" s="4">
        <v>167.300003</v>
      </c>
      <c r="C249" s="4">
        <v>171.529999</v>
      </c>
      <c r="D249" s="4">
        <v>167.16000399999999</v>
      </c>
      <c r="E249" s="4">
        <v>169.80999800000001</v>
      </c>
      <c r="F249" s="4">
        <v>169.80999800000001</v>
      </c>
      <c r="G249" s="11">
        <v>16537100</v>
      </c>
      <c r="H249" s="3">
        <f>(NVDA[[#This Row],[Close]]-E248)/E248</f>
        <v>2.5670452110056197E-2</v>
      </c>
    </row>
    <row r="250" spans="1:8" x14ac:dyDescent="0.25">
      <c r="A250" s="8">
        <v>43542</v>
      </c>
      <c r="B250" s="4">
        <v>171.08000200000001</v>
      </c>
      <c r="C250" s="4">
        <v>173.25</v>
      </c>
      <c r="D250" s="4">
        <v>167.86000100000001</v>
      </c>
      <c r="E250" s="4">
        <v>168.949997</v>
      </c>
      <c r="F250" s="4">
        <v>168.949997</v>
      </c>
      <c r="G250" s="11">
        <v>12174800</v>
      </c>
      <c r="H250" s="3">
        <f>(NVDA[[#This Row],[Close]]-E249)/E249</f>
        <v>-5.0644897834579271E-3</v>
      </c>
    </row>
    <row r="251" spans="1:8" x14ac:dyDescent="0.25">
      <c r="A251" s="8">
        <v>43543</v>
      </c>
      <c r="B251" s="4">
        <v>172.759995</v>
      </c>
      <c r="C251" s="4">
        <v>177.5</v>
      </c>
      <c r="D251" s="4">
        <v>172.08000200000001</v>
      </c>
      <c r="E251" s="4">
        <v>175.71000699999999</v>
      </c>
      <c r="F251" s="4">
        <v>175.71000699999999</v>
      </c>
      <c r="G251" s="11">
        <v>21374300</v>
      </c>
      <c r="H251" s="3">
        <f>(NVDA[[#This Row],[Close]]-E250)/E250</f>
        <v>4.0011897721430524E-2</v>
      </c>
    </row>
    <row r="252" spans="1:8" x14ac:dyDescent="0.25">
      <c r="A252" s="8">
        <v>43544</v>
      </c>
      <c r="B252" s="4">
        <v>176.88000500000001</v>
      </c>
      <c r="C252" s="4">
        <v>179.029999</v>
      </c>
      <c r="D252" s="4">
        <v>173</v>
      </c>
      <c r="E252" s="4">
        <v>174.39999399999999</v>
      </c>
      <c r="F252" s="4">
        <v>174.39999399999999</v>
      </c>
      <c r="G252" s="11">
        <v>17978700</v>
      </c>
      <c r="H252" s="3">
        <f>(NVDA[[#This Row],[Close]]-E251)/E251</f>
        <v>-7.455540082017059E-3</v>
      </c>
    </row>
    <row r="253" spans="1:8" x14ac:dyDescent="0.25">
      <c r="A253" s="8">
        <v>43545</v>
      </c>
      <c r="B253" s="4">
        <v>175.33000200000001</v>
      </c>
      <c r="C253" s="4">
        <v>185</v>
      </c>
      <c r="D253" s="4">
        <v>175.13000500000001</v>
      </c>
      <c r="E253" s="4">
        <v>183.94000199999999</v>
      </c>
      <c r="F253" s="4">
        <v>183.94000199999999</v>
      </c>
      <c r="G253" s="11">
        <v>20607800</v>
      </c>
      <c r="H253" s="3">
        <f>(NVDA[[#This Row],[Close]]-E252)/E252</f>
        <v>5.4701882615890464E-2</v>
      </c>
    </row>
    <row r="254" spans="1:8" x14ac:dyDescent="0.25">
      <c r="A254" s="8">
        <v>43546</v>
      </c>
      <c r="B254" s="4">
        <v>182.83999600000001</v>
      </c>
      <c r="C254" s="4">
        <v>184.800003</v>
      </c>
      <c r="D254" s="4">
        <v>176.94000199999999</v>
      </c>
      <c r="E254" s="4">
        <v>177.5</v>
      </c>
      <c r="F254" s="4">
        <v>177.5</v>
      </c>
      <c r="G254" s="11">
        <v>18681100</v>
      </c>
      <c r="H254" s="3">
        <f>(NVDA[[#This Row],[Close]]-E253)/E253</f>
        <v>-3.501142725876448E-2</v>
      </c>
    </row>
  </sheetData>
  <mergeCells count="4">
    <mergeCell ref="A1:D1"/>
    <mergeCell ref="E1:H1"/>
    <mergeCell ref="A2:D2"/>
    <mergeCell ref="E2:H2"/>
  </mergeCells>
  <conditionalFormatting sqref="A6:H254">
    <cfRule type="expression" dxfId="48" priority="1">
      <formula>$H6&lt;=SMALL($H:$H,5)</formula>
    </cfRule>
    <cfRule type="expression" dxfId="47" priority="2">
      <formula>$H6&gt;=LARGE($H:$H,5)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54"/>
  <sheetViews>
    <sheetView workbookViewId="0">
      <selection activeCell="H4" sqref="H4"/>
    </sheetView>
  </sheetViews>
  <sheetFormatPr defaultRowHeight="15" x14ac:dyDescent="0.25"/>
  <cols>
    <col min="1" max="1" width="16.5703125" customWidth="1"/>
    <col min="2" max="2" width="13.85546875" customWidth="1"/>
    <col min="3" max="4" width="12" customWidth="1"/>
    <col min="5" max="5" width="12.42578125" customWidth="1"/>
    <col min="6" max="6" width="14" customWidth="1"/>
    <col min="7" max="7" width="15" customWidth="1"/>
    <col min="8" max="8" width="21.42578125" customWidth="1"/>
  </cols>
  <sheetData>
    <row r="1" spans="1:8" ht="30" customHeight="1" thickBot="1" x14ac:dyDescent="0.3">
      <c r="A1" s="40" t="s">
        <v>29</v>
      </c>
      <c r="B1" s="40"/>
      <c r="C1" s="40"/>
      <c r="D1" s="41"/>
      <c r="E1" s="47" t="s">
        <v>38</v>
      </c>
      <c r="F1" s="47"/>
      <c r="G1" s="47"/>
      <c r="H1" s="47"/>
    </row>
    <row r="2" spans="1:8" ht="30" customHeight="1" thickBot="1" x14ac:dyDescent="0.3">
      <c r="A2" s="42" t="s">
        <v>5</v>
      </c>
      <c r="B2" s="42"/>
      <c r="C2" s="42"/>
      <c r="D2" s="43"/>
      <c r="E2" s="47" t="s">
        <v>39</v>
      </c>
      <c r="F2" s="47"/>
      <c r="G2" s="47"/>
      <c r="H2" s="47"/>
    </row>
    <row r="3" spans="1:8" x14ac:dyDescent="0.25">
      <c r="A3" s="13"/>
      <c r="B3" s="14"/>
      <c r="C3" s="13"/>
      <c r="D3" s="14"/>
      <c r="E3" s="14"/>
      <c r="F3" s="14"/>
      <c r="G3" s="13"/>
    </row>
    <row r="4" spans="1:8" ht="30" customHeight="1" x14ac:dyDescent="0.25">
      <c r="A4" s="9" t="s">
        <v>0</v>
      </c>
      <c r="B4" s="9" t="s">
        <v>1</v>
      </c>
      <c r="C4" s="9" t="s">
        <v>2</v>
      </c>
      <c r="D4" s="9" t="s">
        <v>3</v>
      </c>
      <c r="E4" s="9" t="s">
        <v>9</v>
      </c>
      <c r="F4" s="9" t="s">
        <v>28</v>
      </c>
      <c r="G4" s="9" t="s">
        <v>10</v>
      </c>
      <c r="H4" s="10" t="s">
        <v>4</v>
      </c>
    </row>
    <row r="5" spans="1:8" x14ac:dyDescent="0.25">
      <c r="A5" s="8">
        <v>43185</v>
      </c>
      <c r="B5" s="4">
        <v>54.580002</v>
      </c>
      <c r="C5" s="4">
        <v>56.139999000000003</v>
      </c>
      <c r="D5" s="4">
        <v>54.25</v>
      </c>
      <c r="E5" s="4">
        <v>56.130001</v>
      </c>
      <c r="F5" s="4">
        <v>53.253086000000003</v>
      </c>
      <c r="G5" s="11">
        <v>12093900</v>
      </c>
      <c r="H5" s="3" t="s">
        <v>11</v>
      </c>
    </row>
    <row r="6" spans="1:8" x14ac:dyDescent="0.25">
      <c r="A6" s="8">
        <v>43186</v>
      </c>
      <c r="B6" s="4">
        <v>56.59</v>
      </c>
      <c r="C6" s="4">
        <v>57.240001999999997</v>
      </c>
      <c r="D6" s="4">
        <v>54.540000999999997</v>
      </c>
      <c r="E6" s="4">
        <v>54.84</v>
      </c>
      <c r="F6" s="4">
        <v>52.029204999999997</v>
      </c>
      <c r="G6" s="11">
        <v>12243200</v>
      </c>
      <c r="H6" s="3">
        <f>(QCOM[[#This Row],[Close]]-E5)/E5</f>
        <v>-2.2982379779398127E-2</v>
      </c>
    </row>
    <row r="7" spans="1:8" x14ac:dyDescent="0.25">
      <c r="A7" s="8">
        <v>43187</v>
      </c>
      <c r="B7" s="4">
        <v>54.810001</v>
      </c>
      <c r="C7" s="4">
        <v>55.970001000000003</v>
      </c>
      <c r="D7" s="4">
        <v>54.459999000000003</v>
      </c>
      <c r="E7" s="4">
        <v>54.700001</v>
      </c>
      <c r="F7" s="4">
        <v>51.896380999999998</v>
      </c>
      <c r="G7" s="11">
        <v>12925500</v>
      </c>
      <c r="H7" s="3">
        <f>(QCOM[[#This Row],[Close]]-E6)/E6</f>
        <v>-2.55286287381479E-3</v>
      </c>
    </row>
    <row r="8" spans="1:8" x14ac:dyDescent="0.25">
      <c r="A8" s="8">
        <v>43188</v>
      </c>
      <c r="B8" s="4">
        <v>55.040000999999997</v>
      </c>
      <c r="C8" s="4">
        <v>55.93</v>
      </c>
      <c r="D8" s="4">
        <v>54.619999</v>
      </c>
      <c r="E8" s="4">
        <v>55.41</v>
      </c>
      <c r="F8" s="4">
        <v>52.569991999999999</v>
      </c>
      <c r="G8" s="11">
        <v>8482500</v>
      </c>
      <c r="H8" s="3">
        <f>(QCOM[[#This Row],[Close]]-E7)/E7</f>
        <v>1.29798717919584E-2</v>
      </c>
    </row>
    <row r="9" spans="1:8" x14ac:dyDescent="0.25">
      <c r="A9" s="8">
        <v>43192</v>
      </c>
      <c r="B9" s="4">
        <v>55.099997999999999</v>
      </c>
      <c r="C9" s="4">
        <v>55.240001999999997</v>
      </c>
      <c r="D9" s="4">
        <v>53.07</v>
      </c>
      <c r="E9" s="4">
        <v>53.810001</v>
      </c>
      <c r="F9" s="4">
        <v>51.051997999999998</v>
      </c>
      <c r="G9" s="11">
        <v>16469600</v>
      </c>
      <c r="H9" s="3">
        <f>(QCOM[[#This Row],[Close]]-E8)/E8</f>
        <v>-2.8875636166756848E-2</v>
      </c>
    </row>
    <row r="10" spans="1:8" x14ac:dyDescent="0.25">
      <c r="A10" s="8">
        <v>43193</v>
      </c>
      <c r="B10" s="4">
        <v>54.290000999999997</v>
      </c>
      <c r="C10" s="4">
        <v>55.049999</v>
      </c>
      <c r="D10" s="4">
        <v>53.619999</v>
      </c>
      <c r="E10" s="4">
        <v>54.779998999999997</v>
      </c>
      <c r="F10" s="4">
        <v>51.972275000000003</v>
      </c>
      <c r="G10" s="11">
        <v>7930700</v>
      </c>
      <c r="H10" s="3">
        <f>(QCOM[[#This Row],[Close]]-E9)/E9</f>
        <v>1.8026351644185937E-2</v>
      </c>
    </row>
    <row r="11" spans="1:8" x14ac:dyDescent="0.25">
      <c r="A11" s="8">
        <v>43194</v>
      </c>
      <c r="B11" s="4">
        <v>53.799999</v>
      </c>
      <c r="C11" s="4">
        <v>55.119999</v>
      </c>
      <c r="D11" s="4">
        <v>53.419998</v>
      </c>
      <c r="E11" s="4">
        <v>54.990001999999997</v>
      </c>
      <c r="F11" s="4">
        <v>52.171515999999997</v>
      </c>
      <c r="G11" s="11">
        <v>7496700</v>
      </c>
      <c r="H11" s="3">
        <f>(QCOM[[#This Row],[Close]]-E10)/E10</f>
        <v>3.8335707162024664E-3</v>
      </c>
    </row>
    <row r="12" spans="1:8" x14ac:dyDescent="0.25">
      <c r="A12" s="8">
        <v>43195</v>
      </c>
      <c r="B12" s="4">
        <v>55.490001999999997</v>
      </c>
      <c r="C12" s="4">
        <v>55.5</v>
      </c>
      <c r="D12" s="4">
        <v>54.439999</v>
      </c>
      <c r="E12" s="4">
        <v>55.040000999999997</v>
      </c>
      <c r="F12" s="4">
        <v>52.218947999999997</v>
      </c>
      <c r="G12" s="11">
        <v>5823300</v>
      </c>
      <c r="H12" s="3">
        <f>(QCOM[[#This Row],[Close]]-E11)/E11</f>
        <v>9.0923801021137779E-4</v>
      </c>
    </row>
    <row r="13" spans="1:8" x14ac:dyDescent="0.25">
      <c r="A13" s="8">
        <v>43196</v>
      </c>
      <c r="B13" s="4">
        <v>54.419998</v>
      </c>
      <c r="C13" s="4">
        <v>54.77</v>
      </c>
      <c r="D13" s="4">
        <v>53.110000999999997</v>
      </c>
      <c r="E13" s="4">
        <v>53.119999</v>
      </c>
      <c r="F13" s="4">
        <v>50.397362000000001</v>
      </c>
      <c r="G13" s="11">
        <v>8322200</v>
      </c>
      <c r="H13" s="3">
        <f>(QCOM[[#This Row],[Close]]-E12)/E12</f>
        <v>-3.4883756633652618E-2</v>
      </c>
    </row>
    <row r="14" spans="1:8" x14ac:dyDescent="0.25">
      <c r="A14" s="8">
        <v>43199</v>
      </c>
      <c r="B14" s="4">
        <v>53.52</v>
      </c>
      <c r="C14" s="4">
        <v>54.889999000000003</v>
      </c>
      <c r="D14" s="4">
        <v>53.34</v>
      </c>
      <c r="E14" s="4">
        <v>53.43</v>
      </c>
      <c r="F14" s="4">
        <v>50.691474999999997</v>
      </c>
      <c r="G14" s="11">
        <v>7608500</v>
      </c>
      <c r="H14" s="3">
        <f>(QCOM[[#This Row],[Close]]-E13)/E13</f>
        <v>5.8358623086570416E-3</v>
      </c>
    </row>
    <row r="15" spans="1:8" x14ac:dyDescent="0.25">
      <c r="A15" s="8">
        <v>43200</v>
      </c>
      <c r="B15" s="4">
        <v>54.580002</v>
      </c>
      <c r="C15" s="4">
        <v>55.009998000000003</v>
      </c>
      <c r="D15" s="4">
        <v>54.220001000000003</v>
      </c>
      <c r="E15" s="4">
        <v>54.77</v>
      </c>
      <c r="F15" s="4">
        <v>51.962791000000003</v>
      </c>
      <c r="G15" s="11">
        <v>12009000</v>
      </c>
      <c r="H15" s="3">
        <f>(QCOM[[#This Row],[Close]]-E14)/E14</f>
        <v>2.5079543327718574E-2</v>
      </c>
    </row>
    <row r="16" spans="1:8" x14ac:dyDescent="0.25">
      <c r="A16" s="8">
        <v>43201</v>
      </c>
      <c r="B16" s="4">
        <v>54.189999</v>
      </c>
      <c r="C16" s="4">
        <v>55.07</v>
      </c>
      <c r="D16" s="4">
        <v>54.150002000000001</v>
      </c>
      <c r="E16" s="4">
        <v>55.009998000000003</v>
      </c>
      <c r="F16" s="4">
        <v>52.190483</v>
      </c>
      <c r="G16" s="11">
        <v>6205300</v>
      </c>
      <c r="H16" s="3">
        <f>(QCOM[[#This Row],[Close]]-E15)/E15</f>
        <v>4.3819244111739991E-3</v>
      </c>
    </row>
    <row r="17" spans="1:8" x14ac:dyDescent="0.25">
      <c r="A17" s="8">
        <v>43202</v>
      </c>
      <c r="B17" s="4">
        <v>55.470001000000003</v>
      </c>
      <c r="C17" s="4">
        <v>55.650002000000001</v>
      </c>
      <c r="D17" s="4">
        <v>55.02</v>
      </c>
      <c r="E17" s="4">
        <v>55.200001</v>
      </c>
      <c r="F17" s="4">
        <v>52.370753999999998</v>
      </c>
      <c r="G17" s="11">
        <v>7412700</v>
      </c>
      <c r="H17" s="3">
        <f>(QCOM[[#This Row],[Close]]-E16)/E16</f>
        <v>3.4539721306660882E-3</v>
      </c>
    </row>
    <row r="18" spans="1:8" x14ac:dyDescent="0.25">
      <c r="A18" s="8">
        <v>43203</v>
      </c>
      <c r="B18" s="4">
        <v>56.610000999999997</v>
      </c>
      <c r="C18" s="4">
        <v>56.790000999999997</v>
      </c>
      <c r="D18" s="4">
        <v>55.419998</v>
      </c>
      <c r="E18" s="4">
        <v>55.73</v>
      </c>
      <c r="F18" s="4">
        <v>52.873584999999999</v>
      </c>
      <c r="G18" s="11">
        <v>12588200</v>
      </c>
      <c r="H18" s="3">
        <f>(QCOM[[#This Row],[Close]]-E17)/E17</f>
        <v>9.6014309854812602E-3</v>
      </c>
    </row>
    <row r="19" spans="1:8" x14ac:dyDescent="0.25">
      <c r="A19" s="8">
        <v>43206</v>
      </c>
      <c r="B19" s="4">
        <v>55.939999</v>
      </c>
      <c r="C19" s="4">
        <v>55.990001999999997</v>
      </c>
      <c r="D19" s="4">
        <v>54.57</v>
      </c>
      <c r="E19" s="4">
        <v>54.77</v>
      </c>
      <c r="F19" s="4">
        <v>51.962791000000003</v>
      </c>
      <c r="G19" s="11">
        <v>7850500</v>
      </c>
      <c r="H19" s="3">
        <f>(QCOM[[#This Row],[Close]]-E18)/E18</f>
        <v>-1.722591064058844E-2</v>
      </c>
    </row>
    <row r="20" spans="1:8" x14ac:dyDescent="0.25">
      <c r="A20" s="8">
        <v>43207</v>
      </c>
      <c r="B20" s="4">
        <v>54.990001999999997</v>
      </c>
      <c r="C20" s="4">
        <v>55.68</v>
      </c>
      <c r="D20" s="4">
        <v>54.779998999999997</v>
      </c>
      <c r="E20" s="4">
        <v>55.349997999999999</v>
      </c>
      <c r="F20" s="4">
        <v>52.513061999999998</v>
      </c>
      <c r="G20" s="11">
        <v>7089700</v>
      </c>
      <c r="H20" s="3">
        <f>(QCOM[[#This Row],[Close]]-E19)/E19</f>
        <v>1.058970239182027E-2</v>
      </c>
    </row>
    <row r="21" spans="1:8" x14ac:dyDescent="0.25">
      <c r="A21" s="8">
        <v>43208</v>
      </c>
      <c r="B21" s="4">
        <v>55.139999000000003</v>
      </c>
      <c r="C21" s="4">
        <v>55.619999</v>
      </c>
      <c r="D21" s="4">
        <v>54.880001</v>
      </c>
      <c r="E21" s="4">
        <v>55.23</v>
      </c>
      <c r="F21" s="4">
        <v>52.399216000000003</v>
      </c>
      <c r="G21" s="11">
        <v>4796800</v>
      </c>
      <c r="H21" s="3">
        <f>(QCOM[[#This Row],[Close]]-E20)/E20</f>
        <v>-2.1679856248595073E-3</v>
      </c>
    </row>
    <row r="22" spans="1:8" x14ac:dyDescent="0.25">
      <c r="A22" s="8">
        <v>43209</v>
      </c>
      <c r="B22" s="4">
        <v>54</v>
      </c>
      <c r="C22" s="4">
        <v>54.139999000000003</v>
      </c>
      <c r="D22" s="4">
        <v>52.5</v>
      </c>
      <c r="E22" s="4">
        <v>52.57</v>
      </c>
      <c r="F22" s="4">
        <v>49.875548999999999</v>
      </c>
      <c r="G22" s="11">
        <v>19179500</v>
      </c>
      <c r="H22" s="3">
        <f>(QCOM[[#This Row],[Close]]-E21)/E21</f>
        <v>-4.8162230671736313E-2</v>
      </c>
    </row>
    <row r="23" spans="1:8" x14ac:dyDescent="0.25">
      <c r="A23" s="8">
        <v>43210</v>
      </c>
      <c r="B23" s="4">
        <v>52.810001</v>
      </c>
      <c r="C23" s="4">
        <v>52.889999000000003</v>
      </c>
      <c r="D23" s="4">
        <v>51.32</v>
      </c>
      <c r="E23" s="4">
        <v>51.439999</v>
      </c>
      <c r="F23" s="4">
        <v>48.803471000000002</v>
      </c>
      <c r="G23" s="11">
        <v>11838200</v>
      </c>
      <c r="H23" s="3">
        <f>(QCOM[[#This Row],[Close]]-E22)/E22</f>
        <v>-2.1495168346965951E-2</v>
      </c>
    </row>
    <row r="24" spans="1:8" x14ac:dyDescent="0.25">
      <c r="A24" s="8">
        <v>43213</v>
      </c>
      <c r="B24" s="4">
        <v>51.5</v>
      </c>
      <c r="C24" s="4">
        <v>51.810001</v>
      </c>
      <c r="D24" s="4">
        <v>50.27</v>
      </c>
      <c r="E24" s="4">
        <v>50.529998999999997</v>
      </c>
      <c r="F24" s="4">
        <v>47.940105000000003</v>
      </c>
      <c r="G24" s="11">
        <v>10961500</v>
      </c>
      <c r="H24" s="3">
        <f>(QCOM[[#This Row],[Close]]-E23)/E23</f>
        <v>-1.7690513563190461E-2</v>
      </c>
    </row>
    <row r="25" spans="1:8" x14ac:dyDescent="0.25">
      <c r="A25" s="8">
        <v>43214</v>
      </c>
      <c r="B25" s="4">
        <v>50.880001</v>
      </c>
      <c r="C25" s="4">
        <v>51.290000999999997</v>
      </c>
      <c r="D25" s="4">
        <v>49.380001</v>
      </c>
      <c r="E25" s="4">
        <v>49.939999</v>
      </c>
      <c r="F25" s="4">
        <v>47.380352000000002</v>
      </c>
      <c r="G25" s="11">
        <v>11670000</v>
      </c>
      <c r="H25" s="3">
        <f>(QCOM[[#This Row],[Close]]-E24)/E24</f>
        <v>-1.1676232172496111E-2</v>
      </c>
    </row>
    <row r="26" spans="1:8" x14ac:dyDescent="0.25">
      <c r="A26" s="8">
        <v>43215</v>
      </c>
      <c r="B26" s="4">
        <v>50</v>
      </c>
      <c r="C26" s="4">
        <v>50.439999</v>
      </c>
      <c r="D26" s="4">
        <v>48.869999</v>
      </c>
      <c r="E26" s="4">
        <v>49.75</v>
      </c>
      <c r="F26" s="4">
        <v>47.200085000000001</v>
      </c>
      <c r="G26" s="11">
        <v>9619200</v>
      </c>
      <c r="H26" s="3">
        <f>(QCOM[[#This Row],[Close]]-E25)/E25</f>
        <v>-3.8045455307277889E-3</v>
      </c>
    </row>
    <row r="27" spans="1:8" x14ac:dyDescent="0.25">
      <c r="A27" s="8">
        <v>43216</v>
      </c>
      <c r="B27" s="4">
        <v>49.52</v>
      </c>
      <c r="C27" s="4">
        <v>50.59</v>
      </c>
      <c r="D27" s="4">
        <v>48.560001</v>
      </c>
      <c r="E27" s="4">
        <v>50.470001000000003</v>
      </c>
      <c r="F27" s="4">
        <v>47.883186000000002</v>
      </c>
      <c r="G27" s="11">
        <v>13684000</v>
      </c>
      <c r="H27" s="3">
        <f>(QCOM[[#This Row],[Close]]-E26)/E26</f>
        <v>1.4472381909547808E-2</v>
      </c>
    </row>
    <row r="28" spans="1:8" x14ac:dyDescent="0.25">
      <c r="A28" s="8">
        <v>43217</v>
      </c>
      <c r="B28" s="4">
        <v>50.75</v>
      </c>
      <c r="C28" s="4">
        <v>51.360000999999997</v>
      </c>
      <c r="D28" s="4">
        <v>50.490001999999997</v>
      </c>
      <c r="E28" s="4">
        <v>51.110000999999997</v>
      </c>
      <c r="F28" s="4">
        <v>48.490378999999997</v>
      </c>
      <c r="G28" s="11">
        <v>9443100</v>
      </c>
      <c r="H28" s="3">
        <f>(QCOM[[#This Row],[Close]]-E27)/E27</f>
        <v>1.2680800224275673E-2</v>
      </c>
    </row>
    <row r="29" spans="1:8" x14ac:dyDescent="0.25">
      <c r="A29" s="8">
        <v>43220</v>
      </c>
      <c r="B29" s="4">
        <v>51.25</v>
      </c>
      <c r="C29" s="4">
        <v>51.82</v>
      </c>
      <c r="D29" s="4">
        <v>51</v>
      </c>
      <c r="E29" s="4">
        <v>51.009998000000003</v>
      </c>
      <c r="F29" s="4">
        <v>48.395508</v>
      </c>
      <c r="G29" s="11">
        <v>9469600</v>
      </c>
      <c r="H29" s="3">
        <f>(QCOM[[#This Row],[Close]]-E28)/E28</f>
        <v>-1.9566229317818612E-3</v>
      </c>
    </row>
    <row r="30" spans="1:8" x14ac:dyDescent="0.25">
      <c r="A30" s="8">
        <v>43221</v>
      </c>
      <c r="B30" s="4">
        <v>50.759998000000003</v>
      </c>
      <c r="C30" s="4">
        <v>51.049999</v>
      </c>
      <c r="D30" s="4">
        <v>50.040000999999997</v>
      </c>
      <c r="E30" s="4">
        <v>50.82</v>
      </c>
      <c r="F30" s="4">
        <v>48.215243999999998</v>
      </c>
      <c r="G30" s="11">
        <v>6780500</v>
      </c>
      <c r="H30" s="3">
        <f>(QCOM[[#This Row],[Close]]-E29)/E29</f>
        <v>-3.7247207890500752E-3</v>
      </c>
    </row>
    <row r="31" spans="1:8" x14ac:dyDescent="0.25">
      <c r="A31" s="8">
        <v>43222</v>
      </c>
      <c r="B31" s="4">
        <v>51.240001999999997</v>
      </c>
      <c r="C31" s="4">
        <v>51.25</v>
      </c>
      <c r="D31" s="4">
        <v>49.919998</v>
      </c>
      <c r="E31" s="4">
        <v>50.259998000000003</v>
      </c>
      <c r="F31" s="4">
        <v>47.683945000000001</v>
      </c>
      <c r="G31" s="11">
        <v>8143000</v>
      </c>
      <c r="H31" s="3">
        <f>(QCOM[[#This Row],[Close]]-E30)/E30</f>
        <v>-1.1019323101141228E-2</v>
      </c>
    </row>
    <row r="32" spans="1:8" x14ac:dyDescent="0.25">
      <c r="A32" s="8">
        <v>43223</v>
      </c>
      <c r="B32" s="4">
        <v>49.990001999999997</v>
      </c>
      <c r="C32" s="4">
        <v>50.540000999999997</v>
      </c>
      <c r="D32" s="4">
        <v>49.310001</v>
      </c>
      <c r="E32" s="4">
        <v>50.310001</v>
      </c>
      <c r="F32" s="4">
        <v>47.731388000000003</v>
      </c>
      <c r="G32" s="11">
        <v>8609200</v>
      </c>
      <c r="H32" s="3">
        <f>(QCOM[[#This Row],[Close]]-E31)/E31</f>
        <v>9.9488662932291968E-4</v>
      </c>
    </row>
    <row r="33" spans="1:8" x14ac:dyDescent="0.25">
      <c r="A33" s="8">
        <v>43224</v>
      </c>
      <c r="B33" s="4">
        <v>50.18</v>
      </c>
      <c r="C33" s="4">
        <v>52.599997999999999</v>
      </c>
      <c r="D33" s="4">
        <v>49.919998</v>
      </c>
      <c r="E33" s="4">
        <v>52.490001999999997</v>
      </c>
      <c r="F33" s="4">
        <v>49.799652000000002</v>
      </c>
      <c r="G33" s="11">
        <v>9880600</v>
      </c>
      <c r="H33" s="3">
        <f>(QCOM[[#This Row],[Close]]-E32)/E32</f>
        <v>4.3331364672403748E-2</v>
      </c>
    </row>
    <row r="34" spans="1:8" x14ac:dyDescent="0.25">
      <c r="A34" s="8">
        <v>43227</v>
      </c>
      <c r="B34" s="4">
        <v>52.580002</v>
      </c>
      <c r="C34" s="4">
        <v>53.27</v>
      </c>
      <c r="D34" s="4">
        <v>52.52</v>
      </c>
      <c r="E34" s="4">
        <v>53.009998000000003</v>
      </c>
      <c r="F34" s="4">
        <v>50.292991999999998</v>
      </c>
      <c r="G34" s="11">
        <v>9571700</v>
      </c>
      <c r="H34" s="3">
        <f>(QCOM[[#This Row],[Close]]-E33)/E33</f>
        <v>9.9065723030455615E-3</v>
      </c>
    </row>
    <row r="35" spans="1:8" x14ac:dyDescent="0.25">
      <c r="A35" s="8">
        <v>43228</v>
      </c>
      <c r="B35" s="4">
        <v>53.040000999999997</v>
      </c>
      <c r="C35" s="4">
        <v>53.27</v>
      </c>
      <c r="D35" s="4">
        <v>52.110000999999997</v>
      </c>
      <c r="E35" s="4">
        <v>52.860000999999997</v>
      </c>
      <c r="F35" s="4">
        <v>50.150688000000002</v>
      </c>
      <c r="G35" s="11">
        <v>9930000</v>
      </c>
      <c r="H35" s="3">
        <f>(QCOM[[#This Row],[Close]]-E34)/E34</f>
        <v>-2.8295982957782066E-3</v>
      </c>
    </row>
    <row r="36" spans="1:8" x14ac:dyDescent="0.25">
      <c r="A36" s="8">
        <v>43229</v>
      </c>
      <c r="B36" s="4">
        <v>52.860000999999997</v>
      </c>
      <c r="C36" s="4">
        <v>53.330002</v>
      </c>
      <c r="D36" s="4">
        <v>52.200001</v>
      </c>
      <c r="E36" s="4">
        <v>53.169998</v>
      </c>
      <c r="F36" s="4">
        <v>50.444800999999998</v>
      </c>
      <c r="G36" s="11">
        <v>7016100</v>
      </c>
      <c r="H36" s="3">
        <f>(QCOM[[#This Row],[Close]]-E35)/E35</f>
        <v>5.8644909976449441E-3</v>
      </c>
    </row>
    <row r="37" spans="1:8" x14ac:dyDescent="0.25">
      <c r="A37" s="8">
        <v>43230</v>
      </c>
      <c r="B37" s="4">
        <v>54.450001</v>
      </c>
      <c r="C37" s="4">
        <v>55.07</v>
      </c>
      <c r="D37" s="4">
        <v>53.950001</v>
      </c>
      <c r="E37" s="4">
        <v>54.970001000000003</v>
      </c>
      <c r="F37" s="4">
        <v>52.152541999999997</v>
      </c>
      <c r="G37" s="11">
        <v>12267200</v>
      </c>
      <c r="H37" s="3">
        <f>(QCOM[[#This Row],[Close]]-E36)/E36</f>
        <v>3.3853734581671485E-2</v>
      </c>
    </row>
    <row r="38" spans="1:8" x14ac:dyDescent="0.25">
      <c r="A38" s="8">
        <v>43231</v>
      </c>
      <c r="B38" s="4">
        <v>54.759998000000003</v>
      </c>
      <c r="C38" s="4">
        <v>55.790000999999997</v>
      </c>
      <c r="D38" s="4">
        <v>54.619999</v>
      </c>
      <c r="E38" s="4">
        <v>55.23</v>
      </c>
      <c r="F38" s="4">
        <v>52.399216000000003</v>
      </c>
      <c r="G38" s="11">
        <v>9639100</v>
      </c>
      <c r="H38" s="3">
        <f>(QCOM[[#This Row],[Close]]-E37)/E37</f>
        <v>4.7298343691133168E-3</v>
      </c>
    </row>
    <row r="39" spans="1:8" x14ac:dyDescent="0.25">
      <c r="A39" s="8">
        <v>43234</v>
      </c>
      <c r="B39" s="4">
        <v>57.330002</v>
      </c>
      <c r="C39" s="4">
        <v>57.799999</v>
      </c>
      <c r="D39" s="4">
        <v>56.34</v>
      </c>
      <c r="E39" s="4">
        <v>56.740001999999997</v>
      </c>
      <c r="F39" s="4">
        <v>53.831820999999998</v>
      </c>
      <c r="G39" s="11">
        <v>15400300</v>
      </c>
      <c r="H39" s="3">
        <f>(QCOM[[#This Row],[Close]]-E38)/E38</f>
        <v>2.734024986420424E-2</v>
      </c>
    </row>
    <row r="40" spans="1:8" x14ac:dyDescent="0.25">
      <c r="A40" s="8">
        <v>43235</v>
      </c>
      <c r="B40" s="4">
        <v>56.5</v>
      </c>
      <c r="C40" s="4">
        <v>56.610000999999997</v>
      </c>
      <c r="D40" s="4">
        <v>55.220001000000003</v>
      </c>
      <c r="E40" s="4">
        <v>55.639999000000003</v>
      </c>
      <c r="F40" s="4">
        <v>52.788200000000003</v>
      </c>
      <c r="G40" s="11">
        <v>12050500</v>
      </c>
      <c r="H40" s="3">
        <f>(QCOM[[#This Row],[Close]]-E39)/E39</f>
        <v>-1.9386728255666855E-2</v>
      </c>
    </row>
    <row r="41" spans="1:8" x14ac:dyDescent="0.25">
      <c r="A41" s="8">
        <v>43236</v>
      </c>
      <c r="B41" s="4">
        <v>55.759998000000003</v>
      </c>
      <c r="C41" s="4">
        <v>56.810001</v>
      </c>
      <c r="D41" s="4">
        <v>55.669998</v>
      </c>
      <c r="E41" s="4">
        <v>56.700001</v>
      </c>
      <c r="F41" s="4">
        <v>53.793869000000001</v>
      </c>
      <c r="G41" s="11">
        <v>8675600</v>
      </c>
      <c r="H41" s="3">
        <f>(QCOM[[#This Row],[Close]]-E40)/E40</f>
        <v>1.9051078703290366E-2</v>
      </c>
    </row>
    <row r="42" spans="1:8" x14ac:dyDescent="0.25">
      <c r="A42" s="8">
        <v>43237</v>
      </c>
      <c r="B42" s="4">
        <v>56.490001999999997</v>
      </c>
      <c r="C42" s="4">
        <v>57.380001</v>
      </c>
      <c r="D42" s="4">
        <v>56.389999000000003</v>
      </c>
      <c r="E42" s="4">
        <v>56.950001</v>
      </c>
      <c r="F42" s="4">
        <v>54.031055000000002</v>
      </c>
      <c r="G42" s="11">
        <v>11450700</v>
      </c>
      <c r="H42" s="3">
        <f>(QCOM[[#This Row],[Close]]-E41)/E41</f>
        <v>4.4091709980745852E-3</v>
      </c>
    </row>
    <row r="43" spans="1:8" x14ac:dyDescent="0.25">
      <c r="A43" s="8">
        <v>43238</v>
      </c>
      <c r="B43" s="4">
        <v>56.93</v>
      </c>
      <c r="C43" s="4">
        <v>57.990001999999997</v>
      </c>
      <c r="D43" s="4">
        <v>56.400002000000001</v>
      </c>
      <c r="E43" s="4">
        <v>57.509998000000003</v>
      </c>
      <c r="F43" s="4">
        <v>54.562354999999997</v>
      </c>
      <c r="G43" s="11">
        <v>11999700</v>
      </c>
      <c r="H43" s="3">
        <f>(QCOM[[#This Row],[Close]]-E42)/E42</f>
        <v>9.8331341556956737E-3</v>
      </c>
    </row>
    <row r="44" spans="1:8" x14ac:dyDescent="0.25">
      <c r="A44" s="8">
        <v>43241</v>
      </c>
      <c r="B44" s="4">
        <v>57.68</v>
      </c>
      <c r="C44" s="4">
        <v>58.27</v>
      </c>
      <c r="D44" s="4">
        <v>56.77</v>
      </c>
      <c r="E44" s="4">
        <v>57.709999000000003</v>
      </c>
      <c r="F44" s="4">
        <v>54.752102000000001</v>
      </c>
      <c r="G44" s="11">
        <v>14286400</v>
      </c>
      <c r="H44" s="3">
        <f>(QCOM[[#This Row],[Close]]-E43)/E43</f>
        <v>3.4776735690375143E-3</v>
      </c>
    </row>
    <row r="45" spans="1:8" x14ac:dyDescent="0.25">
      <c r="A45" s="8">
        <v>43242</v>
      </c>
      <c r="B45" s="4">
        <v>57.91</v>
      </c>
      <c r="C45" s="4">
        <v>58.360000999999997</v>
      </c>
      <c r="D45" s="4">
        <v>57.07</v>
      </c>
      <c r="E45" s="4">
        <v>57.389999000000003</v>
      </c>
      <c r="F45" s="4">
        <v>54.448504999999997</v>
      </c>
      <c r="G45" s="11">
        <v>9432500</v>
      </c>
      <c r="H45" s="3">
        <f>(QCOM[[#This Row],[Close]]-E44)/E44</f>
        <v>-5.5449663064454438E-3</v>
      </c>
    </row>
    <row r="46" spans="1:8" x14ac:dyDescent="0.25">
      <c r="A46" s="8">
        <v>43243</v>
      </c>
      <c r="B46" s="4">
        <v>56.91</v>
      </c>
      <c r="C46" s="4">
        <v>58.860000999999997</v>
      </c>
      <c r="D46" s="4">
        <v>56.830002</v>
      </c>
      <c r="E46" s="4">
        <v>58.82</v>
      </c>
      <c r="F46" s="4">
        <v>55.805213999999999</v>
      </c>
      <c r="G46" s="11">
        <v>11281900</v>
      </c>
      <c r="H46" s="3">
        <f>(QCOM[[#This Row],[Close]]-E45)/E45</f>
        <v>2.49172508262284E-2</v>
      </c>
    </row>
    <row r="47" spans="1:8" x14ac:dyDescent="0.25">
      <c r="A47" s="8">
        <v>43244</v>
      </c>
      <c r="B47" s="4">
        <v>58.580002</v>
      </c>
      <c r="C47" s="4">
        <v>59.25</v>
      </c>
      <c r="D47" s="4">
        <v>58.049999</v>
      </c>
      <c r="E47" s="4">
        <v>59.080002</v>
      </c>
      <c r="F47" s="4">
        <v>56.051887999999998</v>
      </c>
      <c r="G47" s="11">
        <v>12487200</v>
      </c>
      <c r="H47" s="3">
        <f>(QCOM[[#This Row],[Close]]-E46)/E46</f>
        <v>4.4202992179530783E-3</v>
      </c>
    </row>
    <row r="48" spans="1:8" x14ac:dyDescent="0.25">
      <c r="A48" s="8">
        <v>43245</v>
      </c>
      <c r="B48" s="4">
        <v>58.849997999999999</v>
      </c>
      <c r="C48" s="4">
        <v>60</v>
      </c>
      <c r="D48" s="4">
        <v>58.810001</v>
      </c>
      <c r="E48" s="4">
        <v>59.959999000000003</v>
      </c>
      <c r="F48" s="4">
        <v>56.886780000000002</v>
      </c>
      <c r="G48" s="11">
        <v>11501500</v>
      </c>
      <c r="H48" s="3">
        <f>(QCOM[[#This Row],[Close]]-E47)/E47</f>
        <v>1.4895006266248992E-2</v>
      </c>
    </row>
    <row r="49" spans="1:8" x14ac:dyDescent="0.25">
      <c r="A49" s="8">
        <v>43249</v>
      </c>
      <c r="B49" s="4">
        <v>59.5</v>
      </c>
      <c r="C49" s="4">
        <v>59.599997999999999</v>
      </c>
      <c r="D49" s="4">
        <v>57.700001</v>
      </c>
      <c r="E49" s="4">
        <v>58.23</v>
      </c>
      <c r="F49" s="4">
        <v>55.822670000000002</v>
      </c>
      <c r="G49" s="11">
        <v>14696300</v>
      </c>
      <c r="H49" s="3">
        <f>(QCOM[[#This Row],[Close]]-E48)/E48</f>
        <v>-2.8852552182330862E-2</v>
      </c>
    </row>
    <row r="50" spans="1:8" x14ac:dyDescent="0.25">
      <c r="A50" s="8">
        <v>43250</v>
      </c>
      <c r="B50" s="4">
        <v>58.41</v>
      </c>
      <c r="C50" s="4">
        <v>58.650002000000001</v>
      </c>
      <c r="D50" s="4">
        <v>57.66</v>
      </c>
      <c r="E50" s="4">
        <v>58.389999000000003</v>
      </c>
      <c r="F50" s="4">
        <v>55.976050999999998</v>
      </c>
      <c r="G50" s="11">
        <v>9146000</v>
      </c>
      <c r="H50" s="3">
        <f>(QCOM[[#This Row],[Close]]-E49)/E49</f>
        <v>2.7477073673365317E-3</v>
      </c>
    </row>
    <row r="51" spans="1:8" x14ac:dyDescent="0.25">
      <c r="A51" s="8">
        <v>43251</v>
      </c>
      <c r="B51" s="4">
        <v>58</v>
      </c>
      <c r="C51" s="4">
        <v>58.57</v>
      </c>
      <c r="D51" s="4">
        <v>57.759998000000003</v>
      </c>
      <c r="E51" s="4">
        <v>58.119999</v>
      </c>
      <c r="F51" s="4">
        <v>55.717216000000001</v>
      </c>
      <c r="G51" s="11">
        <v>12813200</v>
      </c>
      <c r="H51" s="3">
        <f>(QCOM[[#This Row],[Close]]-E50)/E50</f>
        <v>-4.6240795448549863E-3</v>
      </c>
    </row>
    <row r="52" spans="1:8" x14ac:dyDescent="0.25">
      <c r="A52" s="8">
        <v>43252</v>
      </c>
      <c r="B52" s="4">
        <v>58.34</v>
      </c>
      <c r="C52" s="4">
        <v>58.73</v>
      </c>
      <c r="D52" s="4">
        <v>58.009998000000003</v>
      </c>
      <c r="E52" s="4">
        <v>58.610000999999997</v>
      </c>
      <c r="F52" s="4">
        <v>56.186962000000001</v>
      </c>
      <c r="G52" s="11">
        <v>8869700</v>
      </c>
      <c r="H52" s="3">
        <f>(QCOM[[#This Row],[Close]]-E51)/E51</f>
        <v>8.4308673164291848E-3</v>
      </c>
    </row>
    <row r="53" spans="1:8" x14ac:dyDescent="0.25">
      <c r="A53" s="8">
        <v>43255</v>
      </c>
      <c r="B53" s="4">
        <v>58.619999</v>
      </c>
      <c r="C53" s="4">
        <v>58.869999</v>
      </c>
      <c r="D53" s="4">
        <v>57.950001</v>
      </c>
      <c r="E53" s="4">
        <v>58.709999000000003</v>
      </c>
      <c r="F53" s="4">
        <v>56.282825000000003</v>
      </c>
      <c r="G53" s="11">
        <v>9696700</v>
      </c>
      <c r="H53" s="3">
        <f>(QCOM[[#This Row],[Close]]-E52)/E52</f>
        <v>1.7061593293609819E-3</v>
      </c>
    </row>
    <row r="54" spans="1:8" x14ac:dyDescent="0.25">
      <c r="A54" s="8">
        <v>43256</v>
      </c>
      <c r="B54" s="4">
        <v>58.860000999999997</v>
      </c>
      <c r="C54" s="4">
        <v>59.599997999999999</v>
      </c>
      <c r="D54" s="4">
        <v>58.759998000000003</v>
      </c>
      <c r="E54" s="4">
        <v>58.98</v>
      </c>
      <c r="F54" s="4">
        <v>56.541656000000003</v>
      </c>
      <c r="G54" s="11">
        <v>6562700</v>
      </c>
      <c r="H54" s="3">
        <f>(QCOM[[#This Row],[Close]]-E53)/E53</f>
        <v>4.5988929415582769E-3</v>
      </c>
    </row>
    <row r="55" spans="1:8" x14ac:dyDescent="0.25">
      <c r="A55" s="8">
        <v>43257</v>
      </c>
      <c r="B55" s="4">
        <v>59.259998000000003</v>
      </c>
      <c r="C55" s="4">
        <v>59.849997999999999</v>
      </c>
      <c r="D55" s="4">
        <v>59.110000999999997</v>
      </c>
      <c r="E55" s="4">
        <v>59.84</v>
      </c>
      <c r="F55" s="4">
        <v>57.366107999999997</v>
      </c>
      <c r="G55" s="11">
        <v>6236700</v>
      </c>
      <c r="H55" s="3">
        <f>(QCOM[[#This Row],[Close]]-E54)/E54</f>
        <v>1.4581213970837684E-2</v>
      </c>
    </row>
    <row r="56" spans="1:8" x14ac:dyDescent="0.25">
      <c r="A56" s="8">
        <v>43258</v>
      </c>
      <c r="B56" s="4">
        <v>62</v>
      </c>
      <c r="C56" s="4">
        <v>62.650002000000001</v>
      </c>
      <c r="D56" s="4">
        <v>60.220001000000003</v>
      </c>
      <c r="E56" s="4">
        <v>60.639999000000003</v>
      </c>
      <c r="F56" s="4">
        <v>58.133034000000002</v>
      </c>
      <c r="G56" s="11">
        <v>14786100</v>
      </c>
      <c r="H56" s="3">
        <f>(QCOM[[#This Row],[Close]]-E55)/E55</f>
        <v>1.3368967245989299E-2</v>
      </c>
    </row>
    <row r="57" spans="1:8" x14ac:dyDescent="0.25">
      <c r="A57" s="8">
        <v>43259</v>
      </c>
      <c r="B57" s="4">
        <v>60.25</v>
      </c>
      <c r="C57" s="4">
        <v>60.619999</v>
      </c>
      <c r="D57" s="4">
        <v>59.810001</v>
      </c>
      <c r="E57" s="4">
        <v>60.259998000000003</v>
      </c>
      <c r="F57" s="4">
        <v>57.768745000000003</v>
      </c>
      <c r="G57" s="11">
        <v>7035300</v>
      </c>
      <c r="H57" s="3">
        <f>(QCOM[[#This Row],[Close]]-E56)/E56</f>
        <v>-6.2665073592761767E-3</v>
      </c>
    </row>
    <row r="58" spans="1:8" x14ac:dyDescent="0.25">
      <c r="A58" s="8">
        <v>43262</v>
      </c>
      <c r="B58" s="4">
        <v>60.169998</v>
      </c>
      <c r="C58" s="4">
        <v>60.419998</v>
      </c>
      <c r="D58" s="4">
        <v>59.82</v>
      </c>
      <c r="E58" s="4">
        <v>59.93</v>
      </c>
      <c r="F58" s="4">
        <v>57.452388999999997</v>
      </c>
      <c r="G58" s="11">
        <v>7369500</v>
      </c>
      <c r="H58" s="3">
        <f>(QCOM[[#This Row],[Close]]-E57)/E57</f>
        <v>-5.4762364910799256E-3</v>
      </c>
    </row>
    <row r="59" spans="1:8" x14ac:dyDescent="0.25">
      <c r="A59" s="8">
        <v>43263</v>
      </c>
      <c r="B59" s="4">
        <v>60.110000999999997</v>
      </c>
      <c r="C59" s="4">
        <v>60.380001</v>
      </c>
      <c r="D59" s="4">
        <v>59.549999</v>
      </c>
      <c r="E59" s="4">
        <v>59.790000999999997</v>
      </c>
      <c r="F59" s="4">
        <v>57.318171999999997</v>
      </c>
      <c r="G59" s="11">
        <v>7153500</v>
      </c>
      <c r="H59" s="3">
        <f>(QCOM[[#This Row],[Close]]-E58)/E58</f>
        <v>-2.3360420490572851E-3</v>
      </c>
    </row>
    <row r="60" spans="1:8" x14ac:dyDescent="0.25">
      <c r="A60" s="8">
        <v>43264</v>
      </c>
      <c r="B60" s="4">
        <v>59.669998</v>
      </c>
      <c r="C60" s="4">
        <v>60.23</v>
      </c>
      <c r="D60" s="4">
        <v>59.119999</v>
      </c>
      <c r="E60" s="4">
        <v>59.220001000000003</v>
      </c>
      <c r="F60" s="4">
        <v>56.771743999999998</v>
      </c>
      <c r="G60" s="11">
        <v>9676300</v>
      </c>
      <c r="H60" s="3">
        <f>(QCOM[[#This Row],[Close]]-E59)/E59</f>
        <v>-9.5333666242954779E-3</v>
      </c>
    </row>
    <row r="61" spans="1:8" x14ac:dyDescent="0.25">
      <c r="A61" s="8">
        <v>43265</v>
      </c>
      <c r="B61" s="4">
        <v>59.290000999999997</v>
      </c>
      <c r="C61" s="4">
        <v>59.700001</v>
      </c>
      <c r="D61" s="4">
        <v>58.950001</v>
      </c>
      <c r="E61" s="4">
        <v>59.459999000000003</v>
      </c>
      <c r="F61" s="4">
        <v>57.001815999999998</v>
      </c>
      <c r="G61" s="11">
        <v>8372900</v>
      </c>
      <c r="H61" s="3">
        <f>(QCOM[[#This Row],[Close]]-E60)/E60</f>
        <v>4.0526510629407099E-3</v>
      </c>
    </row>
    <row r="62" spans="1:8" x14ac:dyDescent="0.25">
      <c r="A62" s="8">
        <v>43266</v>
      </c>
      <c r="B62" s="4">
        <v>59.869999</v>
      </c>
      <c r="C62" s="4">
        <v>59.950001</v>
      </c>
      <c r="D62" s="4">
        <v>58.919998</v>
      </c>
      <c r="E62" s="4">
        <v>59.860000999999997</v>
      </c>
      <c r="F62" s="4">
        <v>57.385283999999999</v>
      </c>
      <c r="G62" s="11">
        <v>13804900</v>
      </c>
      <c r="H62" s="3">
        <f>(QCOM[[#This Row],[Close]]-E61)/E61</f>
        <v>6.7272453200006533E-3</v>
      </c>
    </row>
    <row r="63" spans="1:8" x14ac:dyDescent="0.25">
      <c r="A63" s="8">
        <v>43269</v>
      </c>
      <c r="B63" s="4">
        <v>59.310001</v>
      </c>
      <c r="C63" s="4">
        <v>59.369999</v>
      </c>
      <c r="D63" s="4">
        <v>58.919998</v>
      </c>
      <c r="E63" s="4">
        <v>59.200001</v>
      </c>
      <c r="F63" s="4">
        <v>56.752563000000002</v>
      </c>
      <c r="G63" s="11">
        <v>6946600</v>
      </c>
      <c r="H63" s="3">
        <f>(QCOM[[#This Row],[Close]]-E62)/E62</f>
        <v>-1.1025726511431175E-2</v>
      </c>
    </row>
    <row r="64" spans="1:8" x14ac:dyDescent="0.25">
      <c r="A64" s="8">
        <v>43270</v>
      </c>
      <c r="B64" s="4">
        <v>58.279998999999997</v>
      </c>
      <c r="C64" s="4">
        <v>58.740001999999997</v>
      </c>
      <c r="D64" s="4">
        <v>57.849997999999999</v>
      </c>
      <c r="E64" s="4">
        <v>58.700001</v>
      </c>
      <c r="F64" s="4">
        <v>56.273235</v>
      </c>
      <c r="G64" s="11">
        <v>7958300</v>
      </c>
      <c r="H64" s="3">
        <f>(QCOM[[#This Row],[Close]]-E63)/E63</f>
        <v>-8.4459458032779423E-3</v>
      </c>
    </row>
    <row r="65" spans="1:8" x14ac:dyDescent="0.25">
      <c r="A65" s="8">
        <v>43271</v>
      </c>
      <c r="B65" s="4">
        <v>59.18</v>
      </c>
      <c r="C65" s="4">
        <v>59.200001</v>
      </c>
      <c r="D65" s="4">
        <v>58.310001</v>
      </c>
      <c r="E65" s="4">
        <v>58.790000999999997</v>
      </c>
      <c r="F65" s="4">
        <v>56.359515999999999</v>
      </c>
      <c r="G65" s="11">
        <v>6526400</v>
      </c>
      <c r="H65" s="3">
        <f>(QCOM[[#This Row],[Close]]-E64)/E64</f>
        <v>1.5332197353794986E-3</v>
      </c>
    </row>
    <row r="66" spans="1:8" x14ac:dyDescent="0.25">
      <c r="A66" s="8">
        <v>43272</v>
      </c>
      <c r="B66" s="4">
        <v>59.209999000000003</v>
      </c>
      <c r="C66" s="4">
        <v>59.209999000000003</v>
      </c>
      <c r="D66" s="4">
        <v>58.389999000000003</v>
      </c>
      <c r="E66" s="4">
        <v>58.75</v>
      </c>
      <c r="F66" s="4">
        <v>56.321171</v>
      </c>
      <c r="G66" s="11">
        <v>6605400</v>
      </c>
      <c r="H66" s="3">
        <f>(QCOM[[#This Row],[Close]]-E65)/E65</f>
        <v>-6.8040481917999327E-4</v>
      </c>
    </row>
    <row r="67" spans="1:8" x14ac:dyDescent="0.25">
      <c r="A67" s="8">
        <v>43273</v>
      </c>
      <c r="B67" s="4">
        <v>58.779998999999997</v>
      </c>
      <c r="C67" s="4">
        <v>59.099997999999999</v>
      </c>
      <c r="D67" s="4">
        <v>58.43</v>
      </c>
      <c r="E67" s="4">
        <v>58.5</v>
      </c>
      <c r="F67" s="4">
        <v>56.081505</v>
      </c>
      <c r="G67" s="11">
        <v>8074100</v>
      </c>
      <c r="H67" s="3">
        <f>(QCOM[[#This Row],[Close]]-E66)/E66</f>
        <v>-4.2553191489361703E-3</v>
      </c>
    </row>
    <row r="68" spans="1:8" x14ac:dyDescent="0.25">
      <c r="A68" s="8">
        <v>43276</v>
      </c>
      <c r="B68" s="4">
        <v>58.09</v>
      </c>
      <c r="C68" s="4">
        <v>58.139999000000003</v>
      </c>
      <c r="D68" s="4">
        <v>56.610000999999997</v>
      </c>
      <c r="E68" s="4">
        <v>57.049999</v>
      </c>
      <c r="F68" s="4">
        <v>54.691451999999998</v>
      </c>
      <c r="G68" s="11">
        <v>8635900</v>
      </c>
      <c r="H68" s="3">
        <f>(QCOM[[#This Row],[Close]]-E67)/E67</f>
        <v>-2.4786341880341886E-2</v>
      </c>
    </row>
    <row r="69" spans="1:8" x14ac:dyDescent="0.25">
      <c r="A69" s="8">
        <v>43277</v>
      </c>
      <c r="B69" s="4">
        <v>57.080002</v>
      </c>
      <c r="C69" s="4">
        <v>57.150002000000001</v>
      </c>
      <c r="D69" s="4">
        <v>56.310001</v>
      </c>
      <c r="E69" s="4">
        <v>56.450001</v>
      </c>
      <c r="F69" s="4">
        <v>54.116256999999997</v>
      </c>
      <c r="G69" s="11">
        <v>8934700</v>
      </c>
      <c r="H69" s="3">
        <f>(QCOM[[#This Row],[Close]]-E68)/E68</f>
        <v>-1.051705539907195E-2</v>
      </c>
    </row>
    <row r="70" spans="1:8" x14ac:dyDescent="0.25">
      <c r="A70" s="8">
        <v>43278</v>
      </c>
      <c r="B70" s="4">
        <v>56.549999</v>
      </c>
      <c r="C70" s="4">
        <v>57.529998999999997</v>
      </c>
      <c r="D70" s="4">
        <v>55.139999000000003</v>
      </c>
      <c r="E70" s="4">
        <v>55.169998</v>
      </c>
      <c r="F70" s="4">
        <v>52.889175000000002</v>
      </c>
      <c r="G70" s="11">
        <v>11832400</v>
      </c>
      <c r="H70" s="3">
        <f>(QCOM[[#This Row],[Close]]-E69)/E69</f>
        <v>-2.267498631222346E-2</v>
      </c>
    </row>
    <row r="71" spans="1:8" x14ac:dyDescent="0.25">
      <c r="A71" s="8">
        <v>43279</v>
      </c>
      <c r="B71" s="4">
        <v>55.119999</v>
      </c>
      <c r="C71" s="4">
        <v>56.459999000000003</v>
      </c>
      <c r="D71" s="4">
        <v>55.09</v>
      </c>
      <c r="E71" s="4">
        <v>55.900002000000001</v>
      </c>
      <c r="F71" s="4">
        <v>53.588993000000002</v>
      </c>
      <c r="G71" s="11">
        <v>11723600</v>
      </c>
      <c r="H71" s="3">
        <f>(QCOM[[#This Row],[Close]]-E70)/E70</f>
        <v>1.3231901875363508E-2</v>
      </c>
    </row>
    <row r="72" spans="1:8" x14ac:dyDescent="0.25">
      <c r="A72" s="8">
        <v>43280</v>
      </c>
      <c r="B72" s="4">
        <v>56.130001</v>
      </c>
      <c r="C72" s="4">
        <v>56.860000999999997</v>
      </c>
      <c r="D72" s="4">
        <v>56.080002</v>
      </c>
      <c r="E72" s="4">
        <v>56.119999</v>
      </c>
      <c r="F72" s="4">
        <v>53.799900000000001</v>
      </c>
      <c r="G72" s="11">
        <v>11274000</v>
      </c>
      <c r="H72" s="3">
        <f>(QCOM[[#This Row],[Close]]-E71)/E71</f>
        <v>3.935545476366876E-3</v>
      </c>
    </row>
    <row r="73" spans="1:8" x14ac:dyDescent="0.25">
      <c r="A73" s="8">
        <v>43283</v>
      </c>
      <c r="B73" s="4">
        <v>55.400002000000001</v>
      </c>
      <c r="C73" s="4">
        <v>56.220001000000003</v>
      </c>
      <c r="D73" s="4">
        <v>55.119999</v>
      </c>
      <c r="E73" s="4">
        <v>56.18</v>
      </c>
      <c r="F73" s="4">
        <v>53.857418000000003</v>
      </c>
      <c r="G73" s="11">
        <v>7299900</v>
      </c>
      <c r="H73" s="3">
        <f>(QCOM[[#This Row],[Close]]-E72)/E72</f>
        <v>1.0691554003769627E-3</v>
      </c>
    </row>
    <row r="74" spans="1:8" x14ac:dyDescent="0.25">
      <c r="A74" s="8">
        <v>43284</v>
      </c>
      <c r="B74" s="4">
        <v>56.41</v>
      </c>
      <c r="C74" s="4">
        <v>56.529998999999997</v>
      </c>
      <c r="D74" s="4">
        <v>55.25</v>
      </c>
      <c r="E74" s="4">
        <v>55.330002</v>
      </c>
      <c r="F74" s="4">
        <v>53.042557000000002</v>
      </c>
      <c r="G74" s="11">
        <v>3618900</v>
      </c>
      <c r="H74" s="3">
        <f>(QCOM[[#This Row],[Close]]-E73)/E73</f>
        <v>-1.5129903880384467E-2</v>
      </c>
    </row>
    <row r="75" spans="1:8" x14ac:dyDescent="0.25">
      <c r="A75" s="8">
        <v>43286</v>
      </c>
      <c r="B75" s="4">
        <v>55.700001</v>
      </c>
      <c r="C75" s="4">
        <v>57.43</v>
      </c>
      <c r="D75" s="4">
        <v>55.650002000000001</v>
      </c>
      <c r="E75" s="4">
        <v>57.380001</v>
      </c>
      <c r="F75" s="4">
        <v>55.007809000000002</v>
      </c>
      <c r="G75" s="11">
        <v>11728300</v>
      </c>
      <c r="H75" s="3">
        <f>(QCOM[[#This Row],[Close]]-E74)/E74</f>
        <v>3.7050405311751113E-2</v>
      </c>
    </row>
    <row r="76" spans="1:8" x14ac:dyDescent="0.25">
      <c r="A76" s="8">
        <v>43287</v>
      </c>
      <c r="B76" s="4">
        <v>57.459999000000003</v>
      </c>
      <c r="C76" s="4">
        <v>58.07</v>
      </c>
      <c r="D76" s="4">
        <v>57.029998999999997</v>
      </c>
      <c r="E76" s="4">
        <v>57.84</v>
      </c>
      <c r="F76" s="4">
        <v>55.448791999999997</v>
      </c>
      <c r="G76" s="11">
        <v>8806200</v>
      </c>
      <c r="H76" s="3">
        <f>(QCOM[[#This Row],[Close]]-E75)/E75</f>
        <v>8.0167130007544503E-3</v>
      </c>
    </row>
    <row r="77" spans="1:8" x14ac:dyDescent="0.25">
      <c r="A77" s="8">
        <v>43290</v>
      </c>
      <c r="B77" s="4">
        <v>58.060001</v>
      </c>
      <c r="C77" s="4">
        <v>58.310001</v>
      </c>
      <c r="D77" s="4">
        <v>57.23</v>
      </c>
      <c r="E77" s="4">
        <v>58.040000999999997</v>
      </c>
      <c r="F77" s="4">
        <v>55.640526000000001</v>
      </c>
      <c r="G77" s="11">
        <v>4577100</v>
      </c>
      <c r="H77" s="3">
        <f>(QCOM[[#This Row],[Close]]-E76)/E76</f>
        <v>3.4578319502073514E-3</v>
      </c>
    </row>
    <row r="78" spans="1:8" x14ac:dyDescent="0.25">
      <c r="A78" s="8">
        <v>43291</v>
      </c>
      <c r="B78" s="4">
        <v>58.060001</v>
      </c>
      <c r="C78" s="4">
        <v>58.470001000000003</v>
      </c>
      <c r="D78" s="4">
        <v>57.950001</v>
      </c>
      <c r="E78" s="4">
        <v>58.369999</v>
      </c>
      <c r="F78" s="4">
        <v>55.956879000000001</v>
      </c>
      <c r="G78" s="11">
        <v>6848900</v>
      </c>
      <c r="H78" s="3">
        <f>(QCOM[[#This Row],[Close]]-E77)/E77</f>
        <v>5.6856994196124045E-3</v>
      </c>
    </row>
    <row r="79" spans="1:8" x14ac:dyDescent="0.25">
      <c r="A79" s="8">
        <v>43292</v>
      </c>
      <c r="B79" s="4">
        <v>57.43</v>
      </c>
      <c r="C79" s="4">
        <v>58.009998000000003</v>
      </c>
      <c r="D79" s="4">
        <v>56.740001999999997</v>
      </c>
      <c r="E79" s="4">
        <v>57.299999</v>
      </c>
      <c r="F79" s="4">
        <v>54.931109999999997</v>
      </c>
      <c r="G79" s="11">
        <v>8702000</v>
      </c>
      <c r="H79" s="3">
        <f>(QCOM[[#This Row],[Close]]-E78)/E78</f>
        <v>-1.8331334903740538E-2</v>
      </c>
    </row>
    <row r="80" spans="1:8" x14ac:dyDescent="0.25">
      <c r="A80" s="8">
        <v>43293</v>
      </c>
      <c r="B80" s="4">
        <v>57.849997999999999</v>
      </c>
      <c r="C80" s="4">
        <v>58.490001999999997</v>
      </c>
      <c r="D80" s="4">
        <v>57.310001</v>
      </c>
      <c r="E80" s="4">
        <v>58.32</v>
      </c>
      <c r="F80" s="4">
        <v>55.908951000000002</v>
      </c>
      <c r="G80" s="11">
        <v>8426400</v>
      </c>
      <c r="H80" s="3">
        <f>(QCOM[[#This Row],[Close]]-E79)/E79</f>
        <v>1.7801064883090148E-2</v>
      </c>
    </row>
    <row r="81" spans="1:8" x14ac:dyDescent="0.25">
      <c r="A81" s="8">
        <v>43294</v>
      </c>
      <c r="B81" s="4">
        <v>58.25</v>
      </c>
      <c r="C81" s="4">
        <v>58.779998999999997</v>
      </c>
      <c r="D81" s="4">
        <v>58.18</v>
      </c>
      <c r="E81" s="4">
        <v>58.389999000000003</v>
      </c>
      <c r="F81" s="4">
        <v>55.976050999999998</v>
      </c>
      <c r="G81" s="11">
        <v>5266100</v>
      </c>
      <c r="H81" s="3">
        <f>(QCOM[[#This Row],[Close]]-E80)/E80</f>
        <v>1.2002572016461387E-3</v>
      </c>
    </row>
    <row r="82" spans="1:8" x14ac:dyDescent="0.25">
      <c r="A82" s="8">
        <v>43297</v>
      </c>
      <c r="B82" s="4">
        <v>58.419998</v>
      </c>
      <c r="C82" s="4">
        <v>58.84</v>
      </c>
      <c r="D82" s="4">
        <v>58.060001</v>
      </c>
      <c r="E82" s="4">
        <v>58.349997999999999</v>
      </c>
      <c r="F82" s="4">
        <v>55.937705999999999</v>
      </c>
      <c r="G82" s="11">
        <v>5907100</v>
      </c>
      <c r="H82" s="3">
        <f>(QCOM[[#This Row],[Close]]-E81)/E81</f>
        <v>-6.8506594768059036E-4</v>
      </c>
    </row>
    <row r="83" spans="1:8" x14ac:dyDescent="0.25">
      <c r="A83" s="8">
        <v>43298</v>
      </c>
      <c r="B83" s="4">
        <v>57.919998</v>
      </c>
      <c r="C83" s="4">
        <v>58.91</v>
      </c>
      <c r="D83" s="4">
        <v>57.619999</v>
      </c>
      <c r="E83" s="4">
        <v>58.91</v>
      </c>
      <c r="F83" s="4">
        <v>56.474559999999997</v>
      </c>
      <c r="G83" s="11">
        <v>7560300</v>
      </c>
      <c r="H83" s="3">
        <f>(QCOM[[#This Row],[Close]]-E82)/E82</f>
        <v>9.5972925311839288E-3</v>
      </c>
    </row>
    <row r="84" spans="1:8" x14ac:dyDescent="0.25">
      <c r="A84" s="8">
        <v>43299</v>
      </c>
      <c r="B84" s="4">
        <v>59</v>
      </c>
      <c r="C84" s="4">
        <v>59</v>
      </c>
      <c r="D84" s="4">
        <v>58.369999</v>
      </c>
      <c r="E84" s="4">
        <v>58.759998000000003</v>
      </c>
      <c r="F84" s="4">
        <v>56.330756999999998</v>
      </c>
      <c r="G84" s="11">
        <v>6795100</v>
      </c>
      <c r="H84" s="3">
        <f>(QCOM[[#This Row],[Close]]-E83)/E83</f>
        <v>-2.5462909523000093E-3</v>
      </c>
    </row>
    <row r="85" spans="1:8" x14ac:dyDescent="0.25">
      <c r="A85" s="8">
        <v>43300</v>
      </c>
      <c r="B85" s="4">
        <v>58.709999000000003</v>
      </c>
      <c r="C85" s="4">
        <v>59.59</v>
      </c>
      <c r="D85" s="4">
        <v>58.650002000000001</v>
      </c>
      <c r="E85" s="4">
        <v>59.310001</v>
      </c>
      <c r="F85" s="4">
        <v>56.858024999999998</v>
      </c>
      <c r="G85" s="11">
        <v>8150200</v>
      </c>
      <c r="H85" s="3">
        <f>(QCOM[[#This Row],[Close]]-E84)/E84</f>
        <v>9.3601602913600621E-3</v>
      </c>
    </row>
    <row r="86" spans="1:8" x14ac:dyDescent="0.25">
      <c r="A86" s="8">
        <v>43301</v>
      </c>
      <c r="B86" s="4">
        <v>58.98</v>
      </c>
      <c r="C86" s="4">
        <v>59.18</v>
      </c>
      <c r="D86" s="4">
        <v>58.400002000000001</v>
      </c>
      <c r="E86" s="4">
        <v>58.610000999999997</v>
      </c>
      <c r="F86" s="4">
        <v>56.186962000000001</v>
      </c>
      <c r="G86" s="11">
        <v>10859700</v>
      </c>
      <c r="H86" s="3">
        <f>(QCOM[[#This Row],[Close]]-E85)/E85</f>
        <v>-1.1802394000971318E-2</v>
      </c>
    </row>
    <row r="87" spans="1:8" x14ac:dyDescent="0.25">
      <c r="A87" s="8">
        <v>43304</v>
      </c>
      <c r="B87" s="4">
        <v>58.400002000000001</v>
      </c>
      <c r="C87" s="4">
        <v>59.209999000000003</v>
      </c>
      <c r="D87" s="4">
        <v>57.82</v>
      </c>
      <c r="E87" s="4">
        <v>59.080002</v>
      </c>
      <c r="F87" s="4">
        <v>56.637526999999999</v>
      </c>
      <c r="G87" s="11">
        <v>8011800</v>
      </c>
      <c r="H87" s="3">
        <f>(QCOM[[#This Row],[Close]]-E86)/E86</f>
        <v>8.01912629211529E-3</v>
      </c>
    </row>
    <row r="88" spans="1:8" x14ac:dyDescent="0.25">
      <c r="A88" s="8">
        <v>43305</v>
      </c>
      <c r="B88" s="4">
        <v>59.349997999999999</v>
      </c>
      <c r="C88" s="4">
        <v>59.619999</v>
      </c>
      <c r="D88" s="4">
        <v>58.450001</v>
      </c>
      <c r="E88" s="4">
        <v>58.849997999999999</v>
      </c>
      <c r="F88" s="4">
        <v>56.417034000000001</v>
      </c>
      <c r="G88" s="11">
        <v>6637600</v>
      </c>
      <c r="H88" s="3">
        <f>(QCOM[[#This Row],[Close]]-E87)/E87</f>
        <v>-3.8930939778912157E-3</v>
      </c>
    </row>
    <row r="89" spans="1:8" x14ac:dyDescent="0.25">
      <c r="A89" s="8">
        <v>43306</v>
      </c>
      <c r="B89" s="4">
        <v>58.549999</v>
      </c>
      <c r="C89" s="4">
        <v>59.5</v>
      </c>
      <c r="D89" s="4">
        <v>57.759998000000003</v>
      </c>
      <c r="E89" s="4">
        <v>59.419998</v>
      </c>
      <c r="F89" s="4">
        <v>56.963470000000001</v>
      </c>
      <c r="G89" s="11">
        <v>13143100</v>
      </c>
      <c r="H89" s="3">
        <f>(QCOM[[#This Row],[Close]]-E88)/E88</f>
        <v>9.6856417905060981E-3</v>
      </c>
    </row>
    <row r="90" spans="1:8" x14ac:dyDescent="0.25">
      <c r="A90" s="8">
        <v>43307</v>
      </c>
      <c r="B90" s="4">
        <v>63.049999</v>
      </c>
      <c r="C90" s="4">
        <v>63.759998000000003</v>
      </c>
      <c r="D90" s="4">
        <v>61.259998000000003</v>
      </c>
      <c r="E90" s="4">
        <v>63.580002</v>
      </c>
      <c r="F90" s="4">
        <v>60.951492000000002</v>
      </c>
      <c r="G90" s="11">
        <v>31025100</v>
      </c>
      <c r="H90" s="3">
        <f>(QCOM[[#This Row],[Close]]-E89)/E89</f>
        <v>7.0010167284085073E-2</v>
      </c>
    </row>
    <row r="91" spans="1:8" x14ac:dyDescent="0.25">
      <c r="A91" s="8">
        <v>43308</v>
      </c>
      <c r="B91" s="4">
        <v>63.220001000000003</v>
      </c>
      <c r="C91" s="4">
        <v>63.509998000000003</v>
      </c>
      <c r="D91" s="4">
        <v>62.220001000000003</v>
      </c>
      <c r="E91" s="4">
        <v>62.689999</v>
      </c>
      <c r="F91" s="4">
        <v>60.098286000000002</v>
      </c>
      <c r="G91" s="11">
        <v>13488800</v>
      </c>
      <c r="H91" s="3">
        <f>(QCOM[[#This Row],[Close]]-E90)/E90</f>
        <v>-1.3998159358346671E-2</v>
      </c>
    </row>
    <row r="92" spans="1:8" x14ac:dyDescent="0.25">
      <c r="A92" s="8">
        <v>43311</v>
      </c>
      <c r="B92" s="4">
        <v>62.650002000000001</v>
      </c>
      <c r="C92" s="4">
        <v>62.98</v>
      </c>
      <c r="D92" s="4">
        <v>61.93</v>
      </c>
      <c r="E92" s="4">
        <v>62.040000999999997</v>
      </c>
      <c r="F92" s="4">
        <v>59.475155000000001</v>
      </c>
      <c r="G92" s="11">
        <v>9547700</v>
      </c>
      <c r="H92" s="3">
        <f>(QCOM[[#This Row],[Close]]-E91)/E91</f>
        <v>-1.0368448083720717E-2</v>
      </c>
    </row>
    <row r="93" spans="1:8" x14ac:dyDescent="0.25">
      <c r="A93" s="8">
        <v>43312</v>
      </c>
      <c r="B93" s="4">
        <v>63.830002</v>
      </c>
      <c r="C93" s="4">
        <v>64.660004000000001</v>
      </c>
      <c r="D93" s="4">
        <v>63.5</v>
      </c>
      <c r="E93" s="4">
        <v>64.089995999999999</v>
      </c>
      <c r="F93" s="4">
        <v>61.440403000000003</v>
      </c>
      <c r="G93" s="11">
        <v>22350800</v>
      </c>
      <c r="H93" s="3">
        <f>(QCOM[[#This Row],[Close]]-E92)/E92</f>
        <v>3.3043116811039427E-2</v>
      </c>
    </row>
    <row r="94" spans="1:8" x14ac:dyDescent="0.25">
      <c r="A94" s="8">
        <v>43313</v>
      </c>
      <c r="B94" s="4">
        <v>63.549999</v>
      </c>
      <c r="C94" s="4">
        <v>64.870002999999997</v>
      </c>
      <c r="D94" s="4">
        <v>63.549999</v>
      </c>
      <c r="E94" s="4">
        <v>64.349997999999999</v>
      </c>
      <c r="F94" s="4">
        <v>61.689650999999998</v>
      </c>
      <c r="G94" s="11">
        <v>10706200</v>
      </c>
      <c r="H94" s="3">
        <f>(QCOM[[#This Row],[Close]]-E93)/E93</f>
        <v>4.056826591157847E-3</v>
      </c>
    </row>
    <row r="95" spans="1:8" x14ac:dyDescent="0.25">
      <c r="A95" s="8">
        <v>43314</v>
      </c>
      <c r="B95" s="4">
        <v>63.959999000000003</v>
      </c>
      <c r="C95" s="4">
        <v>65.040001000000004</v>
      </c>
      <c r="D95" s="4">
        <v>63.639999000000003</v>
      </c>
      <c r="E95" s="4">
        <v>64.769997000000004</v>
      </c>
      <c r="F95" s="4">
        <v>62.092289000000001</v>
      </c>
      <c r="G95" s="11">
        <v>10618500</v>
      </c>
      <c r="H95" s="3">
        <f>(QCOM[[#This Row],[Close]]-E94)/E94</f>
        <v>6.5267911896439252E-3</v>
      </c>
    </row>
    <row r="96" spans="1:8" x14ac:dyDescent="0.25">
      <c r="A96" s="8">
        <v>43315</v>
      </c>
      <c r="B96" s="4">
        <v>64.739998</v>
      </c>
      <c r="C96" s="4">
        <v>65.610000999999997</v>
      </c>
      <c r="D96" s="4">
        <v>64.669998000000007</v>
      </c>
      <c r="E96" s="4">
        <v>65.400002000000001</v>
      </c>
      <c r="F96" s="4">
        <v>62.696247</v>
      </c>
      <c r="G96" s="11">
        <v>7809400</v>
      </c>
      <c r="H96" s="3">
        <f>(QCOM[[#This Row],[Close]]-E95)/E95</f>
        <v>9.7268029825599185E-3</v>
      </c>
    </row>
    <row r="97" spans="1:8" x14ac:dyDescent="0.25">
      <c r="A97" s="8">
        <v>43318</v>
      </c>
      <c r="B97" s="4">
        <v>65.860000999999997</v>
      </c>
      <c r="C97" s="4">
        <v>66.019997000000004</v>
      </c>
      <c r="D97" s="4">
        <v>65.330001999999993</v>
      </c>
      <c r="E97" s="4">
        <v>65.730002999999996</v>
      </c>
      <c r="F97" s="4">
        <v>63.012608</v>
      </c>
      <c r="G97" s="11">
        <v>10878400</v>
      </c>
      <c r="H97" s="3">
        <f>(QCOM[[#This Row],[Close]]-E96)/E96</f>
        <v>5.0458866958443789E-3</v>
      </c>
    </row>
    <row r="98" spans="1:8" x14ac:dyDescent="0.25">
      <c r="A98" s="8">
        <v>43319</v>
      </c>
      <c r="B98" s="4">
        <v>65.930000000000007</v>
      </c>
      <c r="C98" s="4">
        <v>65.930000000000007</v>
      </c>
      <c r="D98" s="4">
        <v>65.25</v>
      </c>
      <c r="E98" s="4">
        <v>65.440002000000007</v>
      </c>
      <c r="F98" s="4">
        <v>62.7346</v>
      </c>
      <c r="G98" s="11">
        <v>7810900</v>
      </c>
      <c r="H98" s="3">
        <f>(QCOM[[#This Row],[Close]]-E97)/E97</f>
        <v>-4.412003449931221E-3</v>
      </c>
    </row>
    <row r="99" spans="1:8" x14ac:dyDescent="0.25">
      <c r="A99" s="8">
        <v>43320</v>
      </c>
      <c r="B99" s="4">
        <v>65.209998999999996</v>
      </c>
      <c r="C99" s="4">
        <v>65.550003000000004</v>
      </c>
      <c r="D99" s="4">
        <v>65.120002999999997</v>
      </c>
      <c r="E99" s="4">
        <v>65.160004000000001</v>
      </c>
      <c r="F99" s="4">
        <v>62.466175</v>
      </c>
      <c r="G99" s="11">
        <v>7912200</v>
      </c>
      <c r="H99" s="3">
        <f>(QCOM[[#This Row],[Close]]-E98)/E98</f>
        <v>-4.2786979132428231E-3</v>
      </c>
    </row>
    <row r="100" spans="1:8" x14ac:dyDescent="0.25">
      <c r="A100" s="8">
        <v>43321</v>
      </c>
      <c r="B100" s="4">
        <v>65.099997999999999</v>
      </c>
      <c r="C100" s="4">
        <v>65.300003000000004</v>
      </c>
      <c r="D100" s="4">
        <v>64.919998000000007</v>
      </c>
      <c r="E100" s="4">
        <v>65.080001999999993</v>
      </c>
      <c r="F100" s="4">
        <v>62.389484000000003</v>
      </c>
      <c r="G100" s="11">
        <v>6629700</v>
      </c>
      <c r="H100" s="3">
        <f>(QCOM[[#This Row],[Close]]-E99)/E99</f>
        <v>-1.2277777024078675E-3</v>
      </c>
    </row>
    <row r="101" spans="1:8" x14ac:dyDescent="0.25">
      <c r="A101" s="8">
        <v>43322</v>
      </c>
      <c r="B101" s="4">
        <v>64.650002000000001</v>
      </c>
      <c r="C101" s="4">
        <v>64.940002000000007</v>
      </c>
      <c r="D101" s="4">
        <v>64.489998</v>
      </c>
      <c r="E101" s="4">
        <v>64.819999999999993</v>
      </c>
      <c r="F101" s="4">
        <v>62.140224000000003</v>
      </c>
      <c r="G101" s="11">
        <v>8736000</v>
      </c>
      <c r="H101" s="3">
        <f>(QCOM[[#This Row],[Close]]-E100)/E100</f>
        <v>-3.9951135834322823E-3</v>
      </c>
    </row>
    <row r="102" spans="1:8" x14ac:dyDescent="0.25">
      <c r="A102" s="8">
        <v>43325</v>
      </c>
      <c r="B102" s="4">
        <v>65.150002000000001</v>
      </c>
      <c r="C102" s="4">
        <v>65.230002999999996</v>
      </c>
      <c r="D102" s="4">
        <v>64.650002000000001</v>
      </c>
      <c r="E102" s="4">
        <v>64.839995999999999</v>
      </c>
      <c r="F102" s="4">
        <v>62.159396999999998</v>
      </c>
      <c r="G102" s="11">
        <v>6092300</v>
      </c>
      <c r="H102" s="3">
        <f>(QCOM[[#This Row],[Close]]-E101)/E101</f>
        <v>3.0848503548297013E-4</v>
      </c>
    </row>
    <row r="103" spans="1:8" x14ac:dyDescent="0.25">
      <c r="A103" s="8">
        <v>43326</v>
      </c>
      <c r="B103" s="4">
        <v>65.089995999999999</v>
      </c>
      <c r="C103" s="4">
        <v>65.620002999999997</v>
      </c>
      <c r="D103" s="4">
        <v>64.769997000000004</v>
      </c>
      <c r="E103" s="4">
        <v>65.430000000000007</v>
      </c>
      <c r="F103" s="4">
        <v>62.725014000000002</v>
      </c>
      <c r="G103" s="11">
        <v>7844200</v>
      </c>
      <c r="H103" s="3">
        <f>(QCOM[[#This Row],[Close]]-E102)/E102</f>
        <v>9.0993836581977506E-3</v>
      </c>
    </row>
    <row r="104" spans="1:8" x14ac:dyDescent="0.25">
      <c r="A104" s="8">
        <v>43327</v>
      </c>
      <c r="B104" s="4">
        <v>65.139999000000003</v>
      </c>
      <c r="C104" s="4">
        <v>65.819999999999993</v>
      </c>
      <c r="D104" s="4">
        <v>64.550003000000004</v>
      </c>
      <c r="E104" s="4">
        <v>65.680000000000007</v>
      </c>
      <c r="F104" s="4">
        <v>62.964675999999997</v>
      </c>
      <c r="G104" s="11">
        <v>13524800</v>
      </c>
      <c r="H104" s="3">
        <f>(QCOM[[#This Row],[Close]]-E103)/E103</f>
        <v>3.8208772734219772E-3</v>
      </c>
    </row>
    <row r="105" spans="1:8" x14ac:dyDescent="0.25">
      <c r="A105" s="8">
        <v>43328</v>
      </c>
      <c r="B105" s="4">
        <v>65.860000999999997</v>
      </c>
      <c r="C105" s="4">
        <v>66.099997999999999</v>
      </c>
      <c r="D105" s="4">
        <v>65.529999000000004</v>
      </c>
      <c r="E105" s="4">
        <v>65.760002</v>
      </c>
      <c r="F105" s="4">
        <v>63.041362999999997</v>
      </c>
      <c r="G105" s="11">
        <v>9958800</v>
      </c>
      <c r="H105" s="3">
        <f>(QCOM[[#This Row],[Close]]-E104)/E104</f>
        <v>1.2180572472593367E-3</v>
      </c>
    </row>
    <row r="106" spans="1:8" x14ac:dyDescent="0.25">
      <c r="A106" s="8">
        <v>43329</v>
      </c>
      <c r="B106" s="4">
        <v>65.5</v>
      </c>
      <c r="C106" s="4">
        <v>66.190002000000007</v>
      </c>
      <c r="D106" s="4">
        <v>65.120002999999997</v>
      </c>
      <c r="E106" s="4">
        <v>66.059997999999993</v>
      </c>
      <c r="F106" s="4">
        <v>63.328960000000002</v>
      </c>
      <c r="G106" s="11">
        <v>15170500</v>
      </c>
      <c r="H106" s="3">
        <f>(QCOM[[#This Row],[Close]]-E105)/E105</f>
        <v>4.5619828296232876E-3</v>
      </c>
    </row>
    <row r="107" spans="1:8" x14ac:dyDescent="0.25">
      <c r="A107" s="8">
        <v>43332</v>
      </c>
      <c r="B107" s="4">
        <v>66.330001999999993</v>
      </c>
      <c r="C107" s="4">
        <v>66.589995999999999</v>
      </c>
      <c r="D107" s="4">
        <v>65.739998</v>
      </c>
      <c r="E107" s="4">
        <v>66.160004000000001</v>
      </c>
      <c r="F107" s="4">
        <v>63.424824000000001</v>
      </c>
      <c r="G107" s="11">
        <v>13966900</v>
      </c>
      <c r="H107" s="3">
        <f>(QCOM[[#This Row],[Close]]-E106)/E106</f>
        <v>1.5138662280917356E-3</v>
      </c>
    </row>
    <row r="108" spans="1:8" x14ac:dyDescent="0.25">
      <c r="A108" s="8">
        <v>43333</v>
      </c>
      <c r="B108" s="4">
        <v>66.089995999999999</v>
      </c>
      <c r="C108" s="4">
        <v>66.779999000000004</v>
      </c>
      <c r="D108" s="4">
        <v>66.029999000000004</v>
      </c>
      <c r="E108" s="4">
        <v>66.550003000000004</v>
      </c>
      <c r="F108" s="4">
        <v>63.798701999999999</v>
      </c>
      <c r="G108" s="11">
        <v>12181400</v>
      </c>
      <c r="H108" s="3">
        <f>(QCOM[[#This Row],[Close]]-E107)/E107</f>
        <v>5.8947850124072406E-3</v>
      </c>
    </row>
    <row r="109" spans="1:8" x14ac:dyDescent="0.25">
      <c r="A109" s="8">
        <v>43334</v>
      </c>
      <c r="B109" s="4">
        <v>66.220000999999996</v>
      </c>
      <c r="C109" s="4">
        <v>67.080001999999993</v>
      </c>
      <c r="D109" s="4">
        <v>66.209998999999996</v>
      </c>
      <c r="E109" s="4">
        <v>66.839995999999999</v>
      </c>
      <c r="F109" s="4">
        <v>64.076713999999996</v>
      </c>
      <c r="G109" s="11">
        <v>13860300</v>
      </c>
      <c r="H109" s="3">
        <f>(QCOM[[#This Row],[Close]]-E108)/E108</f>
        <v>4.3575204647247796E-3</v>
      </c>
    </row>
    <row r="110" spans="1:8" x14ac:dyDescent="0.25">
      <c r="A110" s="8">
        <v>43335</v>
      </c>
      <c r="B110" s="4">
        <v>66.980002999999996</v>
      </c>
      <c r="C110" s="4">
        <v>67.290001000000004</v>
      </c>
      <c r="D110" s="4">
        <v>66.800003000000004</v>
      </c>
      <c r="E110" s="4">
        <v>66.860000999999997</v>
      </c>
      <c r="F110" s="4">
        <v>64.095885999999993</v>
      </c>
      <c r="G110" s="11">
        <v>12038100</v>
      </c>
      <c r="H110" s="3">
        <f>(QCOM[[#This Row],[Close]]-E109)/E109</f>
        <v>2.9929684615776468E-4</v>
      </c>
    </row>
    <row r="111" spans="1:8" x14ac:dyDescent="0.25">
      <c r="A111" s="8">
        <v>43336</v>
      </c>
      <c r="B111" s="4">
        <v>67</v>
      </c>
      <c r="C111" s="4">
        <v>67.360000999999997</v>
      </c>
      <c r="D111" s="4">
        <v>66.940002000000007</v>
      </c>
      <c r="E111" s="4">
        <v>67.150002000000001</v>
      </c>
      <c r="F111" s="4">
        <v>64.373894000000007</v>
      </c>
      <c r="G111" s="11">
        <v>16001400</v>
      </c>
      <c r="H111" s="3">
        <f>(QCOM[[#This Row],[Close]]-E110)/E110</f>
        <v>4.337436369467056E-3</v>
      </c>
    </row>
    <row r="112" spans="1:8" x14ac:dyDescent="0.25">
      <c r="A112" s="8">
        <v>43339</v>
      </c>
      <c r="B112" s="4">
        <v>67.370002999999997</v>
      </c>
      <c r="C112" s="4">
        <v>67.480002999999996</v>
      </c>
      <c r="D112" s="4">
        <v>67.220000999999996</v>
      </c>
      <c r="E112" s="4">
        <v>67.339995999999999</v>
      </c>
      <c r="F112" s="4">
        <v>64.556038000000001</v>
      </c>
      <c r="G112" s="11">
        <v>12578000</v>
      </c>
      <c r="H112" s="3">
        <f>(QCOM[[#This Row],[Close]]-E111)/E111</f>
        <v>2.8293967884021605E-3</v>
      </c>
    </row>
    <row r="113" spans="1:8" x14ac:dyDescent="0.25">
      <c r="A113" s="8">
        <v>43340</v>
      </c>
      <c r="B113" s="4">
        <v>68.559997999999993</v>
      </c>
      <c r="C113" s="4">
        <v>70.489998</v>
      </c>
      <c r="D113" s="4">
        <v>67.919998000000007</v>
      </c>
      <c r="E113" s="4">
        <v>69.779999000000004</v>
      </c>
      <c r="F113" s="4">
        <v>66.895172000000002</v>
      </c>
      <c r="G113" s="11">
        <v>24952700</v>
      </c>
      <c r="H113" s="3">
        <f>(QCOM[[#This Row],[Close]]-E112)/E112</f>
        <v>3.6234082936387531E-2</v>
      </c>
    </row>
    <row r="114" spans="1:8" x14ac:dyDescent="0.25">
      <c r="A114" s="8">
        <v>43341</v>
      </c>
      <c r="B114" s="4">
        <v>69.669998000000007</v>
      </c>
      <c r="C114" s="4">
        <v>70.069999999999993</v>
      </c>
      <c r="D114" s="4">
        <v>69.139999000000003</v>
      </c>
      <c r="E114" s="4">
        <v>69.199996999999996</v>
      </c>
      <c r="F114" s="4">
        <v>66.339149000000006</v>
      </c>
      <c r="G114" s="11">
        <v>11874300</v>
      </c>
      <c r="H114" s="3">
        <f>(QCOM[[#This Row],[Close]]-E113)/E113</f>
        <v>-8.3118659832598658E-3</v>
      </c>
    </row>
    <row r="115" spans="1:8" x14ac:dyDescent="0.25">
      <c r="A115" s="8">
        <v>43342</v>
      </c>
      <c r="B115" s="4">
        <v>68.970000999999996</v>
      </c>
      <c r="C115" s="4">
        <v>69.160004000000001</v>
      </c>
      <c r="D115" s="4">
        <v>68</v>
      </c>
      <c r="E115" s="4">
        <v>68.139999000000003</v>
      </c>
      <c r="F115" s="4">
        <v>65.322968000000003</v>
      </c>
      <c r="G115" s="11">
        <v>12027500</v>
      </c>
      <c r="H115" s="3">
        <f>(QCOM[[#This Row],[Close]]-E114)/E114</f>
        <v>-1.5317890837480717E-2</v>
      </c>
    </row>
    <row r="116" spans="1:8" x14ac:dyDescent="0.25">
      <c r="A116" s="8">
        <v>43343</v>
      </c>
      <c r="B116" s="4">
        <v>67.989998</v>
      </c>
      <c r="C116" s="4">
        <v>69</v>
      </c>
      <c r="D116" s="4">
        <v>67.940002000000007</v>
      </c>
      <c r="E116" s="4">
        <v>68.709998999999996</v>
      </c>
      <c r="F116" s="4">
        <v>65.869408000000007</v>
      </c>
      <c r="G116" s="11">
        <v>11166900</v>
      </c>
      <c r="H116" s="3">
        <f>(QCOM[[#This Row],[Close]]-E115)/E115</f>
        <v>8.3651307362066912E-3</v>
      </c>
    </row>
    <row r="117" spans="1:8" x14ac:dyDescent="0.25">
      <c r="A117" s="8">
        <v>43347</v>
      </c>
      <c r="B117" s="4">
        <v>68.739998</v>
      </c>
      <c r="C117" s="4">
        <v>70.110000999999997</v>
      </c>
      <c r="D117" s="4">
        <v>68.709998999999996</v>
      </c>
      <c r="E117" s="4">
        <v>69.980002999999996</v>
      </c>
      <c r="F117" s="4">
        <v>67.697777000000002</v>
      </c>
      <c r="G117" s="11">
        <v>13024100</v>
      </c>
      <c r="H117" s="3">
        <f>(QCOM[[#This Row],[Close]]-E116)/E116</f>
        <v>1.8483539782907E-2</v>
      </c>
    </row>
    <row r="118" spans="1:8" x14ac:dyDescent="0.25">
      <c r="A118" s="8">
        <v>43348</v>
      </c>
      <c r="B118" s="4">
        <v>69.800003000000004</v>
      </c>
      <c r="C118" s="4">
        <v>71.069999999999993</v>
      </c>
      <c r="D118" s="4">
        <v>69.309997999999993</v>
      </c>
      <c r="E118" s="4">
        <v>70.889999000000003</v>
      </c>
      <c r="F118" s="4">
        <v>68.578086999999996</v>
      </c>
      <c r="G118" s="11">
        <v>15310700</v>
      </c>
      <c r="H118" s="3">
        <f>(QCOM[[#This Row],[Close]]-E117)/E117</f>
        <v>1.3003657630594939E-2</v>
      </c>
    </row>
    <row r="119" spans="1:8" x14ac:dyDescent="0.25">
      <c r="A119" s="8">
        <v>43349</v>
      </c>
      <c r="B119" s="4">
        <v>70.849997999999999</v>
      </c>
      <c r="C119" s="4">
        <v>71.349997999999999</v>
      </c>
      <c r="D119" s="4">
        <v>70.190002000000007</v>
      </c>
      <c r="E119" s="4">
        <v>70.360000999999997</v>
      </c>
      <c r="F119" s="4">
        <v>68.065376000000001</v>
      </c>
      <c r="G119" s="11">
        <v>11997700</v>
      </c>
      <c r="H119" s="3">
        <f>(QCOM[[#This Row],[Close]]-E118)/E118</f>
        <v>-7.4763437364416688E-3</v>
      </c>
    </row>
    <row r="120" spans="1:8" x14ac:dyDescent="0.25">
      <c r="A120" s="8">
        <v>43350</v>
      </c>
      <c r="B120" s="4">
        <v>69.839995999999999</v>
      </c>
      <c r="C120" s="4">
        <v>70.620002999999997</v>
      </c>
      <c r="D120" s="4">
        <v>69.610000999999997</v>
      </c>
      <c r="E120" s="4">
        <v>70.379997000000003</v>
      </c>
      <c r="F120" s="4">
        <v>68.084723999999994</v>
      </c>
      <c r="G120" s="11">
        <v>24421900</v>
      </c>
      <c r="H120" s="3">
        <f>(QCOM[[#This Row],[Close]]-E119)/E119</f>
        <v>2.8419556162323137E-4</v>
      </c>
    </row>
    <row r="121" spans="1:8" x14ac:dyDescent="0.25">
      <c r="A121" s="8">
        <v>43353</v>
      </c>
      <c r="B121" s="4">
        <v>70.669998000000007</v>
      </c>
      <c r="C121" s="4">
        <v>72.75</v>
      </c>
      <c r="D121" s="4">
        <v>70.5</v>
      </c>
      <c r="E121" s="4">
        <v>72.319999999999993</v>
      </c>
      <c r="F121" s="4">
        <v>69.961455999999998</v>
      </c>
      <c r="G121" s="11">
        <v>14636000</v>
      </c>
      <c r="H121" s="3">
        <f>(QCOM[[#This Row],[Close]]-E120)/E120</f>
        <v>2.7564692848736413E-2</v>
      </c>
    </row>
    <row r="122" spans="1:8" x14ac:dyDescent="0.25">
      <c r="A122" s="8">
        <v>43354</v>
      </c>
      <c r="B122" s="4">
        <v>71.839995999999999</v>
      </c>
      <c r="C122" s="4">
        <v>72.660004000000001</v>
      </c>
      <c r="D122" s="4">
        <v>71.809997999999993</v>
      </c>
      <c r="E122" s="4">
        <v>72.510002</v>
      </c>
      <c r="F122" s="4">
        <v>70.145256000000003</v>
      </c>
      <c r="G122" s="11">
        <v>9501100</v>
      </c>
      <c r="H122" s="3">
        <f>(QCOM[[#This Row],[Close]]-E121)/E121</f>
        <v>2.627240044247883E-3</v>
      </c>
    </row>
    <row r="123" spans="1:8" x14ac:dyDescent="0.25">
      <c r="A123" s="8">
        <v>43355</v>
      </c>
      <c r="B123" s="4">
        <v>72.089995999999999</v>
      </c>
      <c r="C123" s="4">
        <v>72.5</v>
      </c>
      <c r="D123" s="4">
        <v>70.019997000000004</v>
      </c>
      <c r="E123" s="4">
        <v>71.75</v>
      </c>
      <c r="F123" s="4">
        <v>69.410042000000004</v>
      </c>
      <c r="G123" s="11">
        <v>12638300</v>
      </c>
      <c r="H123" s="3">
        <f>(QCOM[[#This Row],[Close]]-E122)/E122</f>
        <v>-1.0481340215657421E-2</v>
      </c>
    </row>
    <row r="124" spans="1:8" x14ac:dyDescent="0.25">
      <c r="A124" s="8">
        <v>43356</v>
      </c>
      <c r="B124" s="4">
        <v>73.680000000000007</v>
      </c>
      <c r="C124" s="4">
        <v>75.360000999999997</v>
      </c>
      <c r="D124" s="4">
        <v>73.480002999999996</v>
      </c>
      <c r="E124" s="4">
        <v>74.610000999999997</v>
      </c>
      <c r="F124" s="4">
        <v>72.176772999999997</v>
      </c>
      <c r="G124" s="11">
        <v>24617700</v>
      </c>
      <c r="H124" s="3">
        <f>(QCOM[[#This Row],[Close]]-E123)/E123</f>
        <v>3.9860641114982533E-2</v>
      </c>
    </row>
    <row r="125" spans="1:8" x14ac:dyDescent="0.25">
      <c r="A125" s="8">
        <v>43357</v>
      </c>
      <c r="B125" s="4">
        <v>74.529999000000004</v>
      </c>
      <c r="C125" s="4">
        <v>76.040001000000004</v>
      </c>
      <c r="D125" s="4">
        <v>74.410004000000001</v>
      </c>
      <c r="E125" s="4">
        <v>75.089995999999999</v>
      </c>
      <c r="F125" s="4">
        <v>72.641120999999998</v>
      </c>
      <c r="G125" s="11">
        <v>13450700</v>
      </c>
      <c r="H125" s="3">
        <f>(QCOM[[#This Row],[Close]]-E124)/E124</f>
        <v>6.4333868592228328E-3</v>
      </c>
    </row>
    <row r="126" spans="1:8" x14ac:dyDescent="0.25">
      <c r="A126" s="8">
        <v>43360</v>
      </c>
      <c r="B126" s="4">
        <v>74.839995999999999</v>
      </c>
      <c r="C126" s="4">
        <v>75.279999000000004</v>
      </c>
      <c r="D126" s="4">
        <v>73.110000999999997</v>
      </c>
      <c r="E126" s="4">
        <v>73.239998</v>
      </c>
      <c r="F126" s="4">
        <v>70.851455999999999</v>
      </c>
      <c r="G126" s="11">
        <v>11558300</v>
      </c>
      <c r="H126" s="3">
        <f>(QCOM[[#This Row],[Close]]-E125)/E125</f>
        <v>-2.4637076821791271E-2</v>
      </c>
    </row>
    <row r="127" spans="1:8" x14ac:dyDescent="0.25">
      <c r="A127" s="8">
        <v>43361</v>
      </c>
      <c r="B127" s="4">
        <v>73.800003000000004</v>
      </c>
      <c r="C127" s="4">
        <v>76.5</v>
      </c>
      <c r="D127" s="4">
        <v>73.510002</v>
      </c>
      <c r="E127" s="4">
        <v>74.720000999999996</v>
      </c>
      <c r="F127" s="4">
        <v>72.283180000000002</v>
      </c>
      <c r="G127" s="11">
        <v>11692000</v>
      </c>
      <c r="H127" s="3">
        <f>(QCOM[[#This Row],[Close]]-E126)/E126</f>
        <v>2.0207578378142452E-2</v>
      </c>
    </row>
    <row r="128" spans="1:8" x14ac:dyDescent="0.25">
      <c r="A128" s="8">
        <v>43362</v>
      </c>
      <c r="B128" s="4">
        <v>75.370002999999997</v>
      </c>
      <c r="C128" s="4">
        <v>75.370002999999997</v>
      </c>
      <c r="D128" s="4">
        <v>73.769997000000004</v>
      </c>
      <c r="E128" s="4">
        <v>74.059997999999993</v>
      </c>
      <c r="F128" s="4">
        <v>71.644706999999997</v>
      </c>
      <c r="G128" s="11">
        <v>12383200</v>
      </c>
      <c r="H128" s="3">
        <f>(QCOM[[#This Row],[Close]]-E127)/E127</f>
        <v>-8.8330164770742334E-3</v>
      </c>
    </row>
    <row r="129" spans="1:8" x14ac:dyDescent="0.25">
      <c r="A129" s="8">
        <v>43363</v>
      </c>
      <c r="B129" s="4">
        <v>74.480002999999996</v>
      </c>
      <c r="C129" s="4">
        <v>75.110000999999997</v>
      </c>
      <c r="D129" s="4">
        <v>74.209998999999996</v>
      </c>
      <c r="E129" s="4">
        <v>74.599997999999999</v>
      </c>
      <c r="F129" s="4">
        <v>72.167090999999999</v>
      </c>
      <c r="G129" s="11">
        <v>12013900</v>
      </c>
      <c r="H129" s="3">
        <f>(QCOM[[#This Row],[Close]]-E128)/E128</f>
        <v>7.2913855601239187E-3</v>
      </c>
    </row>
    <row r="130" spans="1:8" x14ac:dyDescent="0.25">
      <c r="A130" s="8">
        <v>43364</v>
      </c>
      <c r="B130" s="4">
        <v>74.830001999999993</v>
      </c>
      <c r="C130" s="4">
        <v>74.870002999999997</v>
      </c>
      <c r="D130" s="4">
        <v>73.129997000000003</v>
      </c>
      <c r="E130" s="4">
        <v>73.699996999999996</v>
      </c>
      <c r="F130" s="4">
        <v>71.296440000000004</v>
      </c>
      <c r="G130" s="11">
        <v>23465400</v>
      </c>
      <c r="H130" s="3">
        <f>(QCOM[[#This Row],[Close]]-E129)/E129</f>
        <v>-1.2064356891805857E-2</v>
      </c>
    </row>
    <row r="131" spans="1:8" x14ac:dyDescent="0.25">
      <c r="A131" s="8">
        <v>43367</v>
      </c>
      <c r="B131" s="4">
        <v>73.080001999999993</v>
      </c>
      <c r="C131" s="4">
        <v>73.849997999999999</v>
      </c>
      <c r="D131" s="4">
        <v>72.800003000000004</v>
      </c>
      <c r="E131" s="4">
        <v>73.580001999999993</v>
      </c>
      <c r="F131" s="4">
        <v>71.180358999999996</v>
      </c>
      <c r="G131" s="11">
        <v>15446100</v>
      </c>
      <c r="H131" s="3">
        <f>(QCOM[[#This Row],[Close]]-E130)/E130</f>
        <v>-1.6281547474147518E-3</v>
      </c>
    </row>
    <row r="132" spans="1:8" x14ac:dyDescent="0.25">
      <c r="A132" s="8">
        <v>43368</v>
      </c>
      <c r="B132" s="4">
        <v>72.639999000000003</v>
      </c>
      <c r="C132" s="4">
        <v>73.569999999999993</v>
      </c>
      <c r="D132" s="4">
        <v>72.580001999999993</v>
      </c>
      <c r="E132" s="4">
        <v>72.739998</v>
      </c>
      <c r="F132" s="4">
        <v>70.367760000000004</v>
      </c>
      <c r="G132" s="11">
        <v>20741900</v>
      </c>
      <c r="H132" s="3">
        <f>(QCOM[[#This Row],[Close]]-E131)/E131</f>
        <v>-1.1416199744055368E-2</v>
      </c>
    </row>
    <row r="133" spans="1:8" x14ac:dyDescent="0.25">
      <c r="A133" s="8">
        <v>43369</v>
      </c>
      <c r="B133" s="4">
        <v>72.680000000000007</v>
      </c>
      <c r="C133" s="4">
        <v>73.260002</v>
      </c>
      <c r="D133" s="4">
        <v>71.580001999999993</v>
      </c>
      <c r="E133" s="4">
        <v>71.760002</v>
      </c>
      <c r="F133" s="4">
        <v>69.419724000000002</v>
      </c>
      <c r="G133" s="11">
        <v>11306000</v>
      </c>
      <c r="H133" s="3">
        <f>(QCOM[[#This Row],[Close]]-E132)/E132</f>
        <v>-1.347258766765432E-2</v>
      </c>
    </row>
    <row r="134" spans="1:8" x14ac:dyDescent="0.25">
      <c r="A134" s="8">
        <v>43370</v>
      </c>
      <c r="B134" s="4">
        <v>72.180000000000007</v>
      </c>
      <c r="C134" s="4">
        <v>72.680000000000007</v>
      </c>
      <c r="D134" s="4">
        <v>71.470000999999996</v>
      </c>
      <c r="E134" s="4">
        <v>71.709998999999996</v>
      </c>
      <c r="F134" s="4">
        <v>69.371346000000003</v>
      </c>
      <c r="G134" s="11">
        <v>12498300</v>
      </c>
      <c r="H134" s="3">
        <f>(QCOM[[#This Row],[Close]]-E133)/E133</f>
        <v>-6.9680878771441219E-4</v>
      </c>
    </row>
    <row r="135" spans="1:8" x14ac:dyDescent="0.25">
      <c r="A135" s="8">
        <v>43371</v>
      </c>
      <c r="B135" s="4">
        <v>71.510002</v>
      </c>
      <c r="C135" s="4">
        <v>73.260002</v>
      </c>
      <c r="D135" s="4">
        <v>71.25</v>
      </c>
      <c r="E135" s="4">
        <v>72.029999000000004</v>
      </c>
      <c r="F135" s="4">
        <v>69.680915999999996</v>
      </c>
      <c r="G135" s="11">
        <v>20080800</v>
      </c>
      <c r="H135" s="3">
        <f>(QCOM[[#This Row],[Close]]-E134)/E134</f>
        <v>4.4624181350219711E-3</v>
      </c>
    </row>
    <row r="136" spans="1:8" x14ac:dyDescent="0.25">
      <c r="A136" s="8">
        <v>43374</v>
      </c>
      <c r="B136" s="4">
        <v>72.459998999999996</v>
      </c>
      <c r="C136" s="4">
        <v>73.430000000000007</v>
      </c>
      <c r="D136" s="4">
        <v>72.099997999999999</v>
      </c>
      <c r="E136" s="4">
        <v>72.599997999999999</v>
      </c>
      <c r="F136" s="4">
        <v>70.232322999999994</v>
      </c>
      <c r="G136" s="11">
        <v>9340200</v>
      </c>
      <c r="H136" s="3">
        <f>(QCOM[[#This Row],[Close]]-E135)/E135</f>
        <v>7.9133556561620348E-3</v>
      </c>
    </row>
    <row r="137" spans="1:8" x14ac:dyDescent="0.25">
      <c r="A137" s="8">
        <v>43375</v>
      </c>
      <c r="B137" s="4">
        <v>72.400002000000001</v>
      </c>
      <c r="C137" s="4">
        <v>73.910004000000001</v>
      </c>
      <c r="D137" s="4">
        <v>72.269997000000004</v>
      </c>
      <c r="E137" s="4">
        <v>73.349997999999999</v>
      </c>
      <c r="F137" s="4">
        <v>70.957863000000003</v>
      </c>
      <c r="G137" s="11">
        <v>9221200</v>
      </c>
      <c r="H137" s="3">
        <f>(QCOM[[#This Row],[Close]]-E136)/E136</f>
        <v>1.0330578796985642E-2</v>
      </c>
    </row>
    <row r="138" spans="1:8" x14ac:dyDescent="0.25">
      <c r="A138" s="8">
        <v>43376</v>
      </c>
      <c r="B138" s="4">
        <v>73.589995999999999</v>
      </c>
      <c r="C138" s="4">
        <v>73.889999000000003</v>
      </c>
      <c r="D138" s="4">
        <v>72.589995999999999</v>
      </c>
      <c r="E138" s="4">
        <v>72.639999000000003</v>
      </c>
      <c r="F138" s="4">
        <v>70.271011000000001</v>
      </c>
      <c r="G138" s="11">
        <v>7079800</v>
      </c>
      <c r="H138" s="3">
        <f>(QCOM[[#This Row],[Close]]-E137)/E137</f>
        <v>-9.6796048992393458E-3</v>
      </c>
    </row>
    <row r="139" spans="1:8" x14ac:dyDescent="0.25">
      <c r="A139" s="8">
        <v>43377</v>
      </c>
      <c r="B139" s="4">
        <v>72</v>
      </c>
      <c r="C139" s="4">
        <v>72.699996999999996</v>
      </c>
      <c r="D139" s="4">
        <v>71.860000999999997</v>
      </c>
      <c r="E139" s="4">
        <v>72.379997000000003</v>
      </c>
      <c r="F139" s="4">
        <v>70.019501000000005</v>
      </c>
      <c r="G139" s="11">
        <v>8599500</v>
      </c>
      <c r="H139" s="3">
        <f>(QCOM[[#This Row],[Close]]-E138)/E138</f>
        <v>-3.5793227364994879E-3</v>
      </c>
    </row>
    <row r="140" spans="1:8" x14ac:dyDescent="0.25">
      <c r="A140" s="8">
        <v>43378</v>
      </c>
      <c r="B140" s="4">
        <v>72.389999000000003</v>
      </c>
      <c r="C140" s="4">
        <v>72.660004000000001</v>
      </c>
      <c r="D140" s="4">
        <v>70.550003000000004</v>
      </c>
      <c r="E140" s="4">
        <v>71.209998999999996</v>
      </c>
      <c r="F140" s="4">
        <v>68.887657000000004</v>
      </c>
      <c r="G140" s="11">
        <v>23411300</v>
      </c>
      <c r="H140" s="3">
        <f>(QCOM[[#This Row],[Close]]-E139)/E139</f>
        <v>-1.6164659415501312E-2</v>
      </c>
    </row>
    <row r="141" spans="1:8" x14ac:dyDescent="0.25">
      <c r="A141" s="8">
        <v>43381</v>
      </c>
      <c r="B141" s="4">
        <v>70.779999000000004</v>
      </c>
      <c r="C141" s="4">
        <v>71.599997999999999</v>
      </c>
      <c r="D141" s="4">
        <v>70.559997999999993</v>
      </c>
      <c r="E141" s="4">
        <v>70.930000000000007</v>
      </c>
      <c r="F141" s="4">
        <v>68.616782999999998</v>
      </c>
      <c r="G141" s="11">
        <v>10104600</v>
      </c>
      <c r="H141" s="3">
        <f>(QCOM[[#This Row],[Close]]-E140)/E140</f>
        <v>-3.9320180302205802E-3</v>
      </c>
    </row>
    <row r="142" spans="1:8" x14ac:dyDescent="0.25">
      <c r="A142" s="8">
        <v>43382</v>
      </c>
      <c r="B142" s="4">
        <v>70.760002</v>
      </c>
      <c r="C142" s="4">
        <v>70.959998999999996</v>
      </c>
      <c r="D142" s="4">
        <v>70.089995999999999</v>
      </c>
      <c r="E142" s="4">
        <v>70.129997000000003</v>
      </c>
      <c r="F142" s="4">
        <v>67.842879999999994</v>
      </c>
      <c r="G142" s="11">
        <v>10329200</v>
      </c>
      <c r="H142" s="3">
        <f>(QCOM[[#This Row],[Close]]-E141)/E141</f>
        <v>-1.1278767799238738E-2</v>
      </c>
    </row>
    <row r="143" spans="1:8" x14ac:dyDescent="0.25">
      <c r="A143" s="8">
        <v>43383</v>
      </c>
      <c r="B143" s="4">
        <v>68.769997000000004</v>
      </c>
      <c r="C143" s="4">
        <v>69.559997999999993</v>
      </c>
      <c r="D143" s="4">
        <v>66.620002999999997</v>
      </c>
      <c r="E143" s="4">
        <v>66.730002999999996</v>
      </c>
      <c r="F143" s="4">
        <v>64.553764000000001</v>
      </c>
      <c r="G143" s="11">
        <v>22296800</v>
      </c>
      <c r="H143" s="3">
        <f>(QCOM[[#This Row],[Close]]-E142)/E142</f>
        <v>-4.8481308219648238E-2</v>
      </c>
    </row>
    <row r="144" spans="1:8" x14ac:dyDescent="0.25">
      <c r="A144" s="8">
        <v>43384</v>
      </c>
      <c r="B144" s="4">
        <v>66.349997999999999</v>
      </c>
      <c r="C144" s="4">
        <v>66.989998</v>
      </c>
      <c r="D144" s="4">
        <v>63.610000999999997</v>
      </c>
      <c r="E144" s="4">
        <v>64.290001000000004</v>
      </c>
      <c r="F144" s="4">
        <v>62.193336000000002</v>
      </c>
      <c r="G144" s="11">
        <v>25852600</v>
      </c>
      <c r="H144" s="3">
        <f>(QCOM[[#This Row],[Close]]-E143)/E143</f>
        <v>-3.656529132780037E-2</v>
      </c>
    </row>
    <row r="145" spans="1:8" x14ac:dyDescent="0.25">
      <c r="A145" s="8">
        <v>43385</v>
      </c>
      <c r="B145" s="4">
        <v>65.550003000000004</v>
      </c>
      <c r="C145" s="4">
        <v>65.650002000000001</v>
      </c>
      <c r="D145" s="4">
        <v>63.27</v>
      </c>
      <c r="E145" s="4">
        <v>64.290001000000004</v>
      </c>
      <c r="F145" s="4">
        <v>62.193336000000002</v>
      </c>
      <c r="G145" s="11">
        <v>15760900</v>
      </c>
      <c r="H145" s="3">
        <f>(QCOM[[#This Row],[Close]]-E144)/E144</f>
        <v>0</v>
      </c>
    </row>
    <row r="146" spans="1:8" x14ac:dyDescent="0.25">
      <c r="A146" s="8">
        <v>43388</v>
      </c>
      <c r="B146" s="4">
        <v>64.230002999999996</v>
      </c>
      <c r="C146" s="4">
        <v>65.199996999999996</v>
      </c>
      <c r="D146" s="4">
        <v>64.010002</v>
      </c>
      <c r="E146" s="4">
        <v>64.169998000000007</v>
      </c>
      <c r="F146" s="4">
        <v>62.077247999999997</v>
      </c>
      <c r="G146" s="11">
        <v>12314700</v>
      </c>
      <c r="H146" s="3">
        <f>(QCOM[[#This Row],[Close]]-E145)/E145</f>
        <v>-1.86658886503979E-3</v>
      </c>
    </row>
    <row r="147" spans="1:8" x14ac:dyDescent="0.25">
      <c r="A147" s="8">
        <v>43389</v>
      </c>
      <c r="B147" s="4">
        <v>64.779999000000004</v>
      </c>
      <c r="C147" s="4">
        <v>66.389999000000003</v>
      </c>
      <c r="D147" s="4">
        <v>64.620002999999997</v>
      </c>
      <c r="E147" s="4">
        <v>66.120002999999997</v>
      </c>
      <c r="F147" s="4">
        <v>63.963653999999998</v>
      </c>
      <c r="G147" s="11">
        <v>15931400</v>
      </c>
      <c r="H147" s="3">
        <f>(QCOM[[#This Row],[Close]]-E146)/E146</f>
        <v>3.0388110655699102E-2</v>
      </c>
    </row>
    <row r="148" spans="1:8" x14ac:dyDescent="0.25">
      <c r="A148" s="8">
        <v>43390</v>
      </c>
      <c r="B148" s="4">
        <v>66.379997000000003</v>
      </c>
      <c r="C148" s="4">
        <v>66.610000999999997</v>
      </c>
      <c r="D148" s="4">
        <v>65.290001000000004</v>
      </c>
      <c r="E148" s="4">
        <v>66.099997999999999</v>
      </c>
      <c r="F148" s="4">
        <v>63.944302</v>
      </c>
      <c r="G148" s="11">
        <v>14779100</v>
      </c>
      <c r="H148" s="3">
        <f>(QCOM[[#This Row],[Close]]-E147)/E147</f>
        <v>-3.0255594513505402E-4</v>
      </c>
    </row>
    <row r="149" spans="1:8" x14ac:dyDescent="0.25">
      <c r="A149" s="8">
        <v>43391</v>
      </c>
      <c r="B149" s="4">
        <v>65.680000000000007</v>
      </c>
      <c r="C149" s="4">
        <v>66.319999999999993</v>
      </c>
      <c r="D149" s="4">
        <v>64.870002999999997</v>
      </c>
      <c r="E149" s="4">
        <v>65.150002000000001</v>
      </c>
      <c r="F149" s="4">
        <v>63.025291000000003</v>
      </c>
      <c r="G149" s="11">
        <v>12218600</v>
      </c>
      <c r="H149" s="3">
        <f>(QCOM[[#This Row],[Close]]-E148)/E148</f>
        <v>-1.4372103309292063E-2</v>
      </c>
    </row>
    <row r="150" spans="1:8" x14ac:dyDescent="0.25">
      <c r="A150" s="8">
        <v>43392</v>
      </c>
      <c r="B150" s="4">
        <v>65.449996999999996</v>
      </c>
      <c r="C150" s="4">
        <v>66.209998999999996</v>
      </c>
      <c r="D150" s="4">
        <v>65</v>
      </c>
      <c r="E150" s="4">
        <v>65.360000999999997</v>
      </c>
      <c r="F150" s="4">
        <v>63.228439000000002</v>
      </c>
      <c r="G150" s="11">
        <v>10673000</v>
      </c>
      <c r="H150" s="3">
        <f>(QCOM[[#This Row],[Close]]-E149)/E149</f>
        <v>3.2233153269894954E-3</v>
      </c>
    </row>
    <row r="151" spans="1:8" x14ac:dyDescent="0.25">
      <c r="A151" s="8">
        <v>43395</v>
      </c>
      <c r="B151" s="4">
        <v>65.690002000000007</v>
      </c>
      <c r="C151" s="4">
        <v>66.599997999999999</v>
      </c>
      <c r="D151" s="4">
        <v>65.220000999999996</v>
      </c>
      <c r="E151" s="4">
        <v>66.120002999999997</v>
      </c>
      <c r="F151" s="4">
        <v>63.963653999999998</v>
      </c>
      <c r="G151" s="11">
        <v>12890400</v>
      </c>
      <c r="H151" s="3">
        <f>(QCOM[[#This Row],[Close]]-E150)/E150</f>
        <v>1.162793739859337E-2</v>
      </c>
    </row>
    <row r="152" spans="1:8" x14ac:dyDescent="0.25">
      <c r="A152" s="8">
        <v>43396</v>
      </c>
      <c r="B152" s="4">
        <v>63.66</v>
      </c>
      <c r="C152" s="4">
        <v>66.919998000000007</v>
      </c>
      <c r="D152" s="4">
        <v>63.57</v>
      </c>
      <c r="E152" s="4">
        <v>66.379997000000003</v>
      </c>
      <c r="F152" s="4">
        <v>64.215171999999995</v>
      </c>
      <c r="G152" s="11">
        <v>13441000</v>
      </c>
      <c r="H152" s="3">
        <f>(QCOM[[#This Row],[Close]]-E151)/E151</f>
        <v>3.932153481602323E-3</v>
      </c>
    </row>
    <row r="153" spans="1:8" x14ac:dyDescent="0.25">
      <c r="A153" s="8">
        <v>43397</v>
      </c>
      <c r="B153" s="4">
        <v>65.870002999999997</v>
      </c>
      <c r="C153" s="4">
        <v>66.389999000000003</v>
      </c>
      <c r="D153" s="4">
        <v>62.5</v>
      </c>
      <c r="E153" s="4">
        <v>62.619999</v>
      </c>
      <c r="F153" s="4">
        <v>60.577796999999997</v>
      </c>
      <c r="G153" s="11">
        <v>23384300</v>
      </c>
      <c r="H153" s="3">
        <f>(QCOM[[#This Row],[Close]]-E152)/E152</f>
        <v>-5.6643539769970205E-2</v>
      </c>
    </row>
    <row r="154" spans="1:8" x14ac:dyDescent="0.25">
      <c r="A154" s="8">
        <v>43398</v>
      </c>
      <c r="B154" s="4">
        <v>63.810001</v>
      </c>
      <c r="C154" s="4">
        <v>63.830002</v>
      </c>
      <c r="D154" s="4">
        <v>62.349997999999999</v>
      </c>
      <c r="E154" s="4">
        <v>63.200001</v>
      </c>
      <c r="F154" s="4">
        <v>61.138882000000002</v>
      </c>
      <c r="G154" s="11">
        <v>20385700</v>
      </c>
      <c r="H154" s="3">
        <f>(QCOM[[#This Row],[Close]]-E153)/E153</f>
        <v>9.2622486308247994E-3</v>
      </c>
    </row>
    <row r="155" spans="1:8" x14ac:dyDescent="0.25">
      <c r="A155" s="8">
        <v>43399</v>
      </c>
      <c r="B155" s="4">
        <v>61.5</v>
      </c>
      <c r="C155" s="4">
        <v>63.639999000000003</v>
      </c>
      <c r="D155" s="4">
        <v>61.18</v>
      </c>
      <c r="E155" s="4">
        <v>62.48</v>
      </c>
      <c r="F155" s="4">
        <v>60.442360000000001</v>
      </c>
      <c r="G155" s="11">
        <v>17049300</v>
      </c>
      <c r="H155" s="3">
        <f>(QCOM[[#This Row],[Close]]-E154)/E154</f>
        <v>-1.1392420705816182E-2</v>
      </c>
    </row>
    <row r="156" spans="1:8" x14ac:dyDescent="0.25">
      <c r="A156" s="8">
        <v>43402</v>
      </c>
      <c r="B156" s="4">
        <v>63.5</v>
      </c>
      <c r="C156" s="4">
        <v>63.689999</v>
      </c>
      <c r="D156" s="4">
        <v>61.27</v>
      </c>
      <c r="E156" s="4">
        <v>62.169998</v>
      </c>
      <c r="F156" s="4">
        <v>60.142471</v>
      </c>
      <c r="G156" s="11">
        <v>14778300</v>
      </c>
      <c r="H156" s="3">
        <f>(QCOM[[#This Row],[Close]]-E155)/E155</f>
        <v>-4.9616197183098149E-3</v>
      </c>
    </row>
    <row r="157" spans="1:8" x14ac:dyDescent="0.25">
      <c r="A157" s="8">
        <v>43403</v>
      </c>
      <c r="B157" s="4">
        <v>62.360000999999997</v>
      </c>
      <c r="C157" s="4">
        <v>63.720001000000003</v>
      </c>
      <c r="D157" s="4">
        <v>62.169998</v>
      </c>
      <c r="E157" s="4">
        <v>63.18</v>
      </c>
      <c r="F157" s="4">
        <v>61.119537000000001</v>
      </c>
      <c r="G157" s="11">
        <v>18865300</v>
      </c>
      <c r="H157" s="3">
        <f>(QCOM[[#This Row],[Close]]-E156)/E156</f>
        <v>1.6245810398771446E-2</v>
      </c>
    </row>
    <row r="158" spans="1:8" x14ac:dyDescent="0.25">
      <c r="A158" s="8">
        <v>43404</v>
      </c>
      <c r="B158" s="4">
        <v>62.91</v>
      </c>
      <c r="C158" s="4">
        <v>63.52</v>
      </c>
      <c r="D158" s="4">
        <v>62.07</v>
      </c>
      <c r="E158" s="4">
        <v>62.889999000000003</v>
      </c>
      <c r="F158" s="4">
        <v>60.838993000000002</v>
      </c>
      <c r="G158" s="11">
        <v>12917500</v>
      </c>
      <c r="H158" s="3">
        <f>(QCOM[[#This Row],[Close]]-E157)/E157</f>
        <v>-4.5900759734092533E-3</v>
      </c>
    </row>
    <row r="159" spans="1:8" x14ac:dyDescent="0.25">
      <c r="A159" s="8">
        <v>43405</v>
      </c>
      <c r="B159" s="4">
        <v>63.200001</v>
      </c>
      <c r="C159" s="4">
        <v>64.309997999999993</v>
      </c>
      <c r="D159" s="4">
        <v>62.880001</v>
      </c>
      <c r="E159" s="4">
        <v>63.709999000000003</v>
      </c>
      <c r="F159" s="4">
        <v>61.632247999999997</v>
      </c>
      <c r="G159" s="11">
        <v>11003900</v>
      </c>
      <c r="H159" s="3">
        <f>(QCOM[[#This Row],[Close]]-E158)/E158</f>
        <v>1.3038639100630297E-2</v>
      </c>
    </row>
    <row r="160" spans="1:8" x14ac:dyDescent="0.25">
      <c r="A160" s="8">
        <v>43406</v>
      </c>
      <c r="B160" s="4">
        <v>63.939999</v>
      </c>
      <c r="C160" s="4">
        <v>63.959999000000003</v>
      </c>
      <c r="D160" s="4">
        <v>62.34</v>
      </c>
      <c r="E160" s="4">
        <v>63.330002</v>
      </c>
      <c r="F160" s="4">
        <v>61.264645000000002</v>
      </c>
      <c r="G160" s="11">
        <v>13707900</v>
      </c>
      <c r="H160" s="3">
        <f>(QCOM[[#This Row],[Close]]-E159)/E159</f>
        <v>-5.9644797671398958E-3</v>
      </c>
    </row>
    <row r="161" spans="1:8" x14ac:dyDescent="0.25">
      <c r="A161" s="8">
        <v>43409</v>
      </c>
      <c r="B161" s="4">
        <v>63.080002</v>
      </c>
      <c r="C161" s="4">
        <v>63.799999</v>
      </c>
      <c r="D161" s="4">
        <v>62.66</v>
      </c>
      <c r="E161" s="4">
        <v>63.470001000000003</v>
      </c>
      <c r="F161" s="4">
        <v>61.400078000000001</v>
      </c>
      <c r="G161" s="11">
        <v>13373800</v>
      </c>
      <c r="H161" s="3">
        <f>(QCOM[[#This Row],[Close]]-E160)/E160</f>
        <v>2.2106268052857962E-3</v>
      </c>
    </row>
    <row r="162" spans="1:8" x14ac:dyDescent="0.25">
      <c r="A162" s="8">
        <v>43410</v>
      </c>
      <c r="B162" s="4">
        <v>63.349997999999999</v>
      </c>
      <c r="C162" s="4">
        <v>64.339995999999999</v>
      </c>
      <c r="D162" s="4">
        <v>62.41</v>
      </c>
      <c r="E162" s="4">
        <v>63.630001</v>
      </c>
      <c r="F162" s="4">
        <v>61.554862999999997</v>
      </c>
      <c r="G162" s="11">
        <v>8774100</v>
      </c>
      <c r="H162" s="3">
        <f>(QCOM[[#This Row],[Close]]-E161)/E161</f>
        <v>2.5208759646938809E-3</v>
      </c>
    </row>
    <row r="163" spans="1:8" x14ac:dyDescent="0.25">
      <c r="A163" s="8">
        <v>43411</v>
      </c>
      <c r="B163" s="4">
        <v>63.5</v>
      </c>
      <c r="C163" s="4">
        <v>63.75</v>
      </c>
      <c r="D163" s="4">
        <v>62.279998999999997</v>
      </c>
      <c r="E163" s="4">
        <v>63.209999000000003</v>
      </c>
      <c r="F163" s="4">
        <v>61.148552000000002</v>
      </c>
      <c r="G163" s="11">
        <v>18493500</v>
      </c>
      <c r="H163" s="3">
        <f>(QCOM[[#This Row],[Close]]-E162)/E162</f>
        <v>-6.6006913939856242E-3</v>
      </c>
    </row>
    <row r="164" spans="1:8" x14ac:dyDescent="0.25">
      <c r="A164" s="8">
        <v>43412</v>
      </c>
      <c r="B164" s="4">
        <v>58</v>
      </c>
      <c r="C164" s="4">
        <v>60.150002000000001</v>
      </c>
      <c r="D164" s="4">
        <v>57.599997999999999</v>
      </c>
      <c r="E164" s="4">
        <v>58.049999</v>
      </c>
      <c r="F164" s="4">
        <v>56.156834000000003</v>
      </c>
      <c r="G164" s="11">
        <v>32155200</v>
      </c>
      <c r="H164" s="3">
        <f>(QCOM[[#This Row],[Close]]-E163)/E163</f>
        <v>-8.1632654352676123E-2</v>
      </c>
    </row>
    <row r="165" spans="1:8" x14ac:dyDescent="0.25">
      <c r="A165" s="8">
        <v>43413</v>
      </c>
      <c r="B165" s="4">
        <v>57.779998999999997</v>
      </c>
      <c r="C165" s="4">
        <v>58.240001999999997</v>
      </c>
      <c r="D165" s="4">
        <v>56.189999</v>
      </c>
      <c r="E165" s="4">
        <v>56.720001000000003</v>
      </c>
      <c r="F165" s="4">
        <v>54.870215999999999</v>
      </c>
      <c r="G165" s="11">
        <v>21745200</v>
      </c>
      <c r="H165" s="3">
        <f>(QCOM[[#This Row],[Close]]-E164)/E164</f>
        <v>-2.2911249318023179E-2</v>
      </c>
    </row>
    <row r="166" spans="1:8" x14ac:dyDescent="0.25">
      <c r="A166" s="8">
        <v>43416</v>
      </c>
      <c r="B166" s="4">
        <v>56.369999</v>
      </c>
      <c r="C166" s="4">
        <v>56.5</v>
      </c>
      <c r="D166" s="4">
        <v>54.43</v>
      </c>
      <c r="E166" s="4">
        <v>54.490001999999997</v>
      </c>
      <c r="F166" s="4">
        <v>52.712940000000003</v>
      </c>
      <c r="G166" s="11">
        <v>24447800</v>
      </c>
      <c r="H166" s="3">
        <f>(QCOM[[#This Row],[Close]]-E165)/E165</f>
        <v>-3.9315919617138345E-2</v>
      </c>
    </row>
    <row r="167" spans="1:8" x14ac:dyDescent="0.25">
      <c r="A167" s="8">
        <v>43417</v>
      </c>
      <c r="B167" s="4">
        <v>54.740001999999997</v>
      </c>
      <c r="C167" s="4">
        <v>55.490001999999997</v>
      </c>
      <c r="D167" s="4">
        <v>54.049999</v>
      </c>
      <c r="E167" s="4">
        <v>54.16</v>
      </c>
      <c r="F167" s="4">
        <v>52.393700000000003</v>
      </c>
      <c r="G167" s="11">
        <v>20883800</v>
      </c>
      <c r="H167" s="3">
        <f>(QCOM[[#This Row],[Close]]-E166)/E166</f>
        <v>-6.0561935747405621E-3</v>
      </c>
    </row>
    <row r="168" spans="1:8" x14ac:dyDescent="0.25">
      <c r="A168" s="8">
        <v>43418</v>
      </c>
      <c r="B168" s="4">
        <v>54.84</v>
      </c>
      <c r="C168" s="4">
        <v>54.889999000000003</v>
      </c>
      <c r="D168" s="4">
        <v>53.669998</v>
      </c>
      <c r="E168" s="4">
        <v>53.939999</v>
      </c>
      <c r="F168" s="4">
        <v>52.180874000000003</v>
      </c>
      <c r="G168" s="11">
        <v>14071900</v>
      </c>
      <c r="H168" s="3">
        <f>(QCOM[[#This Row],[Close]]-E167)/E167</f>
        <v>-4.0620568685375991E-3</v>
      </c>
    </row>
    <row r="169" spans="1:8" x14ac:dyDescent="0.25">
      <c r="A169" s="8">
        <v>43419</v>
      </c>
      <c r="B169" s="4">
        <v>53.830002</v>
      </c>
      <c r="C169" s="4">
        <v>55.540000999999997</v>
      </c>
      <c r="D169" s="4">
        <v>53.529998999999997</v>
      </c>
      <c r="E169" s="4">
        <v>55.389999000000003</v>
      </c>
      <c r="F169" s="4">
        <v>53.583587999999999</v>
      </c>
      <c r="G169" s="11">
        <v>18856300</v>
      </c>
      <c r="H169" s="3">
        <f>(QCOM[[#This Row],[Close]]-E168)/E168</f>
        <v>2.6881720928470965E-2</v>
      </c>
    </row>
    <row r="170" spans="1:8" x14ac:dyDescent="0.25">
      <c r="A170" s="8">
        <v>43420</v>
      </c>
      <c r="B170" s="4">
        <v>55.119999</v>
      </c>
      <c r="C170" s="4">
        <v>57.040000999999997</v>
      </c>
      <c r="D170" s="4">
        <v>54.990001999999997</v>
      </c>
      <c r="E170" s="4">
        <v>55.880001</v>
      </c>
      <c r="F170" s="4">
        <v>54.057606</v>
      </c>
      <c r="G170" s="11">
        <v>57303300</v>
      </c>
      <c r="H170" s="3">
        <f>(QCOM[[#This Row],[Close]]-E169)/E169</f>
        <v>8.8463984265462238E-3</v>
      </c>
    </row>
    <row r="171" spans="1:8" x14ac:dyDescent="0.25">
      <c r="A171" s="8">
        <v>43423</v>
      </c>
      <c r="B171" s="4">
        <v>55.849997999999999</v>
      </c>
      <c r="C171" s="4">
        <v>56.619999</v>
      </c>
      <c r="D171" s="4">
        <v>54.869999</v>
      </c>
      <c r="E171" s="4">
        <v>54.900002000000001</v>
      </c>
      <c r="F171" s="4">
        <v>53.109566000000001</v>
      </c>
      <c r="G171" s="11">
        <v>20321400</v>
      </c>
      <c r="H171" s="3">
        <f>(QCOM[[#This Row],[Close]]-E170)/E170</f>
        <v>-1.7537562320372891E-2</v>
      </c>
    </row>
    <row r="172" spans="1:8" x14ac:dyDescent="0.25">
      <c r="A172" s="8">
        <v>43424</v>
      </c>
      <c r="B172" s="4">
        <v>54.200001</v>
      </c>
      <c r="C172" s="4">
        <v>55.43</v>
      </c>
      <c r="D172" s="4">
        <v>54.07</v>
      </c>
      <c r="E172" s="4">
        <v>54.919998</v>
      </c>
      <c r="F172" s="4">
        <v>53.128914000000002</v>
      </c>
      <c r="G172" s="11">
        <v>20658300</v>
      </c>
      <c r="H172" s="3">
        <f>(QCOM[[#This Row],[Close]]-E171)/E171</f>
        <v>3.6422585194075246E-4</v>
      </c>
    </row>
    <row r="173" spans="1:8" x14ac:dyDescent="0.25">
      <c r="A173" s="8">
        <v>43425</v>
      </c>
      <c r="B173" s="4">
        <v>55.209999000000003</v>
      </c>
      <c r="C173" s="4">
        <v>56.5</v>
      </c>
      <c r="D173" s="4">
        <v>55.18</v>
      </c>
      <c r="E173" s="4">
        <v>55.27</v>
      </c>
      <c r="F173" s="4">
        <v>53.467503000000001</v>
      </c>
      <c r="G173" s="11">
        <v>13015500</v>
      </c>
      <c r="H173" s="3">
        <f>(QCOM[[#This Row],[Close]]-E172)/E172</f>
        <v>6.3729426938435698E-3</v>
      </c>
    </row>
    <row r="174" spans="1:8" x14ac:dyDescent="0.25">
      <c r="A174" s="8">
        <v>43427</v>
      </c>
      <c r="B174" s="4">
        <v>54.77</v>
      </c>
      <c r="C174" s="4">
        <v>55.75</v>
      </c>
      <c r="D174" s="4">
        <v>54.75</v>
      </c>
      <c r="E174" s="4">
        <v>55.25</v>
      </c>
      <c r="F174" s="4">
        <v>53.448154000000002</v>
      </c>
      <c r="G174" s="11">
        <v>4671900</v>
      </c>
      <c r="H174" s="3">
        <f>(QCOM[[#This Row],[Close]]-E173)/E173</f>
        <v>-3.6185996019546092E-4</v>
      </c>
    </row>
    <row r="175" spans="1:8" x14ac:dyDescent="0.25">
      <c r="A175" s="8">
        <v>43430</v>
      </c>
      <c r="B175" s="4">
        <v>55.790000999999997</v>
      </c>
      <c r="C175" s="4">
        <v>56.380001</v>
      </c>
      <c r="D175" s="4">
        <v>55.18</v>
      </c>
      <c r="E175" s="4">
        <v>55.73</v>
      </c>
      <c r="F175" s="4">
        <v>53.912497999999999</v>
      </c>
      <c r="G175" s="11">
        <v>10373700</v>
      </c>
      <c r="H175" s="3">
        <f>(QCOM[[#This Row],[Close]]-E174)/E174</f>
        <v>8.6877828054298077E-3</v>
      </c>
    </row>
    <row r="176" spans="1:8" x14ac:dyDescent="0.25">
      <c r="A176" s="8">
        <v>43431</v>
      </c>
      <c r="B176" s="4">
        <v>55.59</v>
      </c>
      <c r="C176" s="4">
        <v>56.23</v>
      </c>
      <c r="D176" s="4">
        <v>55.349997999999999</v>
      </c>
      <c r="E176" s="4">
        <v>55.57</v>
      </c>
      <c r="F176" s="4">
        <v>53.757713000000003</v>
      </c>
      <c r="G176" s="11">
        <v>9719000</v>
      </c>
      <c r="H176" s="3">
        <f>(QCOM[[#This Row],[Close]]-E175)/E175</f>
        <v>-2.8709851067646977E-3</v>
      </c>
    </row>
    <row r="177" spans="1:8" x14ac:dyDescent="0.25">
      <c r="A177" s="8">
        <v>43432</v>
      </c>
      <c r="B177" s="4">
        <v>55.889999000000003</v>
      </c>
      <c r="C177" s="4">
        <v>56.720001000000003</v>
      </c>
      <c r="D177" s="4">
        <v>54.689999</v>
      </c>
      <c r="E177" s="4">
        <v>56.650002000000001</v>
      </c>
      <c r="F177" s="4">
        <v>54.802494000000003</v>
      </c>
      <c r="G177" s="11">
        <v>17483500</v>
      </c>
      <c r="H177" s="3">
        <f>(QCOM[[#This Row],[Close]]-E176)/E176</f>
        <v>1.9434982904444849E-2</v>
      </c>
    </row>
    <row r="178" spans="1:8" x14ac:dyDescent="0.25">
      <c r="A178" s="8">
        <v>43433</v>
      </c>
      <c r="B178" s="4">
        <v>57.889999000000003</v>
      </c>
      <c r="C178" s="4">
        <v>59.049999</v>
      </c>
      <c r="D178" s="4">
        <v>57.77</v>
      </c>
      <c r="E178" s="4">
        <v>58.110000999999997</v>
      </c>
      <c r="F178" s="4">
        <v>56.214877999999999</v>
      </c>
      <c r="G178" s="11">
        <v>26949000</v>
      </c>
      <c r="H178" s="3">
        <f>(QCOM[[#This Row],[Close]]-E177)/E177</f>
        <v>2.5772267404332947E-2</v>
      </c>
    </row>
    <row r="179" spans="1:8" x14ac:dyDescent="0.25">
      <c r="A179" s="8">
        <v>43434</v>
      </c>
      <c r="B179" s="4">
        <v>58.220001000000003</v>
      </c>
      <c r="C179" s="4">
        <v>58.470001000000003</v>
      </c>
      <c r="D179" s="4">
        <v>57.02</v>
      </c>
      <c r="E179" s="4">
        <v>58.259998000000003</v>
      </c>
      <c r="F179" s="4">
        <v>56.359988999999999</v>
      </c>
      <c r="G179" s="11">
        <v>18197800</v>
      </c>
      <c r="H179" s="3">
        <f>(QCOM[[#This Row],[Close]]-E178)/E178</f>
        <v>2.5812596354972727E-3</v>
      </c>
    </row>
    <row r="180" spans="1:8" x14ac:dyDescent="0.25">
      <c r="A180" s="8">
        <v>43437</v>
      </c>
      <c r="B180" s="4">
        <v>60.509998000000003</v>
      </c>
      <c r="C180" s="4">
        <v>60.509998000000003</v>
      </c>
      <c r="D180" s="4">
        <v>58.400002000000001</v>
      </c>
      <c r="E180" s="4">
        <v>59.139999000000003</v>
      </c>
      <c r="F180" s="4">
        <v>57.211288000000003</v>
      </c>
      <c r="G180" s="11">
        <v>17114500</v>
      </c>
      <c r="H180" s="3">
        <f>(QCOM[[#This Row],[Close]]-E179)/E179</f>
        <v>1.5104720738232776E-2</v>
      </c>
    </row>
    <row r="181" spans="1:8" x14ac:dyDescent="0.25">
      <c r="A181" s="8">
        <v>43438</v>
      </c>
      <c r="B181" s="4">
        <v>58.990001999999997</v>
      </c>
      <c r="C181" s="4">
        <v>59.48</v>
      </c>
      <c r="D181" s="4">
        <v>57.220001000000003</v>
      </c>
      <c r="E181" s="4">
        <v>57.73</v>
      </c>
      <c r="F181" s="4">
        <v>55.847275000000003</v>
      </c>
      <c r="G181" s="11">
        <v>15836500</v>
      </c>
      <c r="H181" s="3">
        <f>(QCOM[[#This Row],[Close]]-E180)/E180</f>
        <v>-2.3841714978723727E-2</v>
      </c>
    </row>
    <row r="182" spans="1:8" x14ac:dyDescent="0.25">
      <c r="A182" s="8">
        <v>43440</v>
      </c>
      <c r="B182" s="4">
        <v>56.009998000000003</v>
      </c>
      <c r="C182" s="4">
        <v>57.209999000000003</v>
      </c>
      <c r="D182" s="4">
        <v>55.689999</v>
      </c>
      <c r="E182" s="4">
        <v>57.110000999999997</v>
      </c>
      <c r="F182" s="4">
        <v>56.453564</v>
      </c>
      <c r="G182" s="11">
        <v>18203300</v>
      </c>
      <c r="H182" s="3">
        <f>(QCOM[[#This Row],[Close]]-E181)/E181</f>
        <v>-1.0739632773254806E-2</v>
      </c>
    </row>
    <row r="183" spans="1:8" x14ac:dyDescent="0.25">
      <c r="A183" s="8">
        <v>43441</v>
      </c>
      <c r="B183" s="4">
        <v>56.610000999999997</v>
      </c>
      <c r="C183" s="4">
        <v>57.119999</v>
      </c>
      <c r="D183" s="4">
        <v>55.73</v>
      </c>
      <c r="E183" s="4">
        <v>55.990001999999997</v>
      </c>
      <c r="F183" s="4">
        <v>55.346435999999997</v>
      </c>
      <c r="G183" s="11">
        <v>17054700</v>
      </c>
      <c r="H183" s="3">
        <f>(QCOM[[#This Row],[Close]]-E182)/E182</f>
        <v>-1.9611258630515521E-2</v>
      </c>
    </row>
    <row r="184" spans="1:8" x14ac:dyDescent="0.25">
      <c r="A184" s="8">
        <v>43444</v>
      </c>
      <c r="B184" s="4">
        <v>57.77</v>
      </c>
      <c r="C184" s="4">
        <v>58.25</v>
      </c>
      <c r="D184" s="4">
        <v>56.639999000000003</v>
      </c>
      <c r="E184" s="4">
        <v>57.240001999999997</v>
      </c>
      <c r="F184" s="4">
        <v>56.582068999999997</v>
      </c>
      <c r="G184" s="11">
        <v>20484900</v>
      </c>
      <c r="H184" s="3">
        <f>(QCOM[[#This Row],[Close]]-E183)/E183</f>
        <v>2.2325414455245066E-2</v>
      </c>
    </row>
    <row r="185" spans="1:8" x14ac:dyDescent="0.25">
      <c r="A185" s="8">
        <v>43445</v>
      </c>
      <c r="B185" s="4">
        <v>58.450001</v>
      </c>
      <c r="C185" s="4">
        <v>58.66</v>
      </c>
      <c r="D185" s="4">
        <v>56.830002</v>
      </c>
      <c r="E185" s="4">
        <v>57.349997999999999</v>
      </c>
      <c r="F185" s="4">
        <v>56.690800000000003</v>
      </c>
      <c r="G185" s="11">
        <v>13116300</v>
      </c>
      <c r="H185" s="3">
        <f>(QCOM[[#This Row],[Close]]-E184)/E184</f>
        <v>1.9216631054625474E-3</v>
      </c>
    </row>
    <row r="186" spans="1:8" x14ac:dyDescent="0.25">
      <c r="A186" s="8">
        <v>43446</v>
      </c>
      <c r="B186" s="4">
        <v>58.439999</v>
      </c>
      <c r="C186" s="4">
        <v>58.580002</v>
      </c>
      <c r="D186" s="4">
        <v>57.529998999999997</v>
      </c>
      <c r="E186" s="4">
        <v>57.720001000000003</v>
      </c>
      <c r="F186" s="4">
        <v>57.056553000000001</v>
      </c>
      <c r="G186" s="11">
        <v>13246500</v>
      </c>
      <c r="H186" s="3">
        <f>(QCOM[[#This Row],[Close]]-E185)/E185</f>
        <v>6.4516654385934607E-3</v>
      </c>
    </row>
    <row r="187" spans="1:8" x14ac:dyDescent="0.25">
      <c r="A187" s="8">
        <v>43447</v>
      </c>
      <c r="B187" s="4">
        <v>58.139999000000003</v>
      </c>
      <c r="C187" s="4">
        <v>58.380001</v>
      </c>
      <c r="D187" s="4">
        <v>57.560001</v>
      </c>
      <c r="E187" s="4">
        <v>58.09</v>
      </c>
      <c r="F187" s="4">
        <v>57.422297999999998</v>
      </c>
      <c r="G187" s="11">
        <v>8949900</v>
      </c>
      <c r="H187" s="3">
        <f>(QCOM[[#This Row],[Close]]-E186)/E186</f>
        <v>6.410238974181583E-3</v>
      </c>
    </row>
    <row r="188" spans="1:8" x14ac:dyDescent="0.25">
      <c r="A188" s="8">
        <v>43448</v>
      </c>
      <c r="B188" s="4">
        <v>57.560001</v>
      </c>
      <c r="C188" s="4">
        <v>59</v>
      </c>
      <c r="D188" s="4">
        <v>57.360000999999997</v>
      </c>
      <c r="E188" s="4">
        <v>57.619999</v>
      </c>
      <c r="F188" s="4">
        <v>56.957698999999998</v>
      </c>
      <c r="G188" s="11">
        <v>13551000</v>
      </c>
      <c r="H188" s="3">
        <f>(QCOM[[#This Row],[Close]]-E187)/E187</f>
        <v>-8.0909106558788683E-3</v>
      </c>
    </row>
    <row r="189" spans="1:8" x14ac:dyDescent="0.25">
      <c r="A189" s="8">
        <v>43451</v>
      </c>
      <c r="B189" s="4">
        <v>57.59</v>
      </c>
      <c r="C189" s="4">
        <v>58.34</v>
      </c>
      <c r="D189" s="4">
        <v>56.669998</v>
      </c>
      <c r="E189" s="4">
        <v>57</v>
      </c>
      <c r="F189" s="4">
        <v>56.344825999999998</v>
      </c>
      <c r="G189" s="11">
        <v>16648200</v>
      </c>
      <c r="H189" s="3">
        <f>(QCOM[[#This Row],[Close]]-E188)/E188</f>
        <v>-1.0760135556406378E-2</v>
      </c>
    </row>
    <row r="190" spans="1:8" x14ac:dyDescent="0.25">
      <c r="A190" s="8">
        <v>43452</v>
      </c>
      <c r="B190" s="4">
        <v>57.689999</v>
      </c>
      <c r="C190" s="4">
        <v>58.540000999999997</v>
      </c>
      <c r="D190" s="4">
        <v>57.400002000000001</v>
      </c>
      <c r="E190" s="4">
        <v>57.779998999999997</v>
      </c>
      <c r="F190" s="4">
        <v>57.115859999999998</v>
      </c>
      <c r="G190" s="11">
        <v>12384200</v>
      </c>
      <c r="H190" s="3">
        <f>(QCOM[[#This Row],[Close]]-E189)/E189</f>
        <v>1.368419298245608E-2</v>
      </c>
    </row>
    <row r="191" spans="1:8" x14ac:dyDescent="0.25">
      <c r="A191" s="8">
        <v>43453</v>
      </c>
      <c r="B191" s="4">
        <v>57.540000999999997</v>
      </c>
      <c r="C191" s="4">
        <v>58.5</v>
      </c>
      <c r="D191" s="4">
        <v>56.060001</v>
      </c>
      <c r="E191" s="4">
        <v>56.689999</v>
      </c>
      <c r="F191" s="4">
        <v>56.038387</v>
      </c>
      <c r="G191" s="11">
        <v>17376400</v>
      </c>
      <c r="H191" s="3">
        <f>(QCOM[[#This Row],[Close]]-E190)/E190</f>
        <v>-1.8864659378066039E-2</v>
      </c>
    </row>
    <row r="192" spans="1:8" x14ac:dyDescent="0.25">
      <c r="A192" s="8">
        <v>43454</v>
      </c>
      <c r="B192" s="4">
        <v>57.220001000000003</v>
      </c>
      <c r="C192" s="4">
        <v>57.939999</v>
      </c>
      <c r="D192" s="4">
        <v>56.060001</v>
      </c>
      <c r="E192" s="4">
        <v>56.369999</v>
      </c>
      <c r="F192" s="4">
        <v>55.722065000000001</v>
      </c>
      <c r="G192" s="11">
        <v>21742300</v>
      </c>
      <c r="H192" s="3">
        <f>(QCOM[[#This Row],[Close]]-E191)/E191</f>
        <v>-5.6447346206515243E-3</v>
      </c>
    </row>
    <row r="193" spans="1:8" x14ac:dyDescent="0.25">
      <c r="A193" s="8">
        <v>43455</v>
      </c>
      <c r="B193" s="4">
        <v>56.259998000000003</v>
      </c>
      <c r="C193" s="4">
        <v>57.279998999999997</v>
      </c>
      <c r="D193" s="4">
        <v>54.689999</v>
      </c>
      <c r="E193" s="4">
        <v>54.849997999999999</v>
      </c>
      <c r="F193" s="4">
        <v>54.219535999999998</v>
      </c>
      <c r="G193" s="11">
        <v>38202300</v>
      </c>
      <c r="H193" s="3">
        <f>(QCOM[[#This Row],[Close]]-E192)/E192</f>
        <v>-2.6964715752434209E-2</v>
      </c>
    </row>
    <row r="194" spans="1:8" x14ac:dyDescent="0.25">
      <c r="A194" s="8">
        <v>43458</v>
      </c>
      <c r="B194" s="4">
        <v>53.700001</v>
      </c>
      <c r="C194" s="4">
        <v>54.889999000000003</v>
      </c>
      <c r="D194" s="4">
        <v>53.57</v>
      </c>
      <c r="E194" s="4">
        <v>53.650002000000001</v>
      </c>
      <c r="F194" s="4">
        <v>53.033332999999999</v>
      </c>
      <c r="G194" s="11">
        <v>8275000</v>
      </c>
      <c r="H194" s="3">
        <f>(QCOM[[#This Row],[Close]]-E193)/E193</f>
        <v>-2.1877776549782166E-2</v>
      </c>
    </row>
    <row r="195" spans="1:8" x14ac:dyDescent="0.25">
      <c r="A195" s="8">
        <v>43460</v>
      </c>
      <c r="B195" s="4">
        <v>54.25</v>
      </c>
      <c r="C195" s="4">
        <v>56</v>
      </c>
      <c r="D195" s="4">
        <v>53.509998000000003</v>
      </c>
      <c r="E195" s="4">
        <v>55.959999000000003</v>
      </c>
      <c r="F195" s="4">
        <v>55.316780000000001</v>
      </c>
      <c r="G195" s="11">
        <v>18451600</v>
      </c>
      <c r="H195" s="3">
        <f>(QCOM[[#This Row],[Close]]-E194)/E194</f>
        <v>4.3056792430315335E-2</v>
      </c>
    </row>
    <row r="196" spans="1:8" x14ac:dyDescent="0.25">
      <c r="A196" s="8">
        <v>43461</v>
      </c>
      <c r="B196" s="4">
        <v>55.540000999999997</v>
      </c>
      <c r="C196" s="4">
        <v>56.389999000000003</v>
      </c>
      <c r="D196" s="4">
        <v>54.77</v>
      </c>
      <c r="E196" s="4">
        <v>56.09</v>
      </c>
      <c r="F196" s="4">
        <v>55.445286000000003</v>
      </c>
      <c r="G196" s="11">
        <v>15804800</v>
      </c>
      <c r="H196" s="3">
        <f>(QCOM[[#This Row],[Close]]-E195)/E195</f>
        <v>2.3231058313635785E-3</v>
      </c>
    </row>
    <row r="197" spans="1:8" x14ac:dyDescent="0.25">
      <c r="A197" s="8">
        <v>43462</v>
      </c>
      <c r="B197" s="4">
        <v>56.330002</v>
      </c>
      <c r="C197" s="4">
        <v>57.529998999999997</v>
      </c>
      <c r="D197" s="4">
        <v>56.240001999999997</v>
      </c>
      <c r="E197" s="4">
        <v>56.810001</v>
      </c>
      <c r="F197" s="4">
        <v>56.157012999999999</v>
      </c>
      <c r="G197" s="11">
        <v>12749600</v>
      </c>
      <c r="H197" s="3">
        <f>(QCOM[[#This Row],[Close]]-E196)/E196</f>
        <v>1.2836530575860159E-2</v>
      </c>
    </row>
    <row r="198" spans="1:8" x14ac:dyDescent="0.25">
      <c r="A198" s="8">
        <v>43465</v>
      </c>
      <c r="B198" s="4">
        <v>57.119999</v>
      </c>
      <c r="C198" s="4">
        <v>57.41</v>
      </c>
      <c r="D198" s="4">
        <v>56.279998999999997</v>
      </c>
      <c r="E198" s="4">
        <v>56.91</v>
      </c>
      <c r="F198" s="4">
        <v>56.255859000000001</v>
      </c>
      <c r="G198" s="11">
        <v>8877000</v>
      </c>
      <c r="H198" s="3">
        <f>(QCOM[[#This Row],[Close]]-E197)/E197</f>
        <v>1.7602358429811829E-3</v>
      </c>
    </row>
    <row r="199" spans="1:8" x14ac:dyDescent="0.25">
      <c r="A199" s="8">
        <v>43467</v>
      </c>
      <c r="B199" s="4">
        <v>56.200001</v>
      </c>
      <c r="C199" s="4">
        <v>58</v>
      </c>
      <c r="D199" s="4">
        <v>55.919998</v>
      </c>
      <c r="E199" s="4">
        <v>57.400002000000001</v>
      </c>
      <c r="F199" s="4">
        <v>56.740231000000001</v>
      </c>
      <c r="G199" s="11">
        <v>9896600</v>
      </c>
      <c r="H199" s="3">
        <f>(QCOM[[#This Row],[Close]]-E198)/E198</f>
        <v>8.6101212440696552E-3</v>
      </c>
    </row>
    <row r="200" spans="1:8" x14ac:dyDescent="0.25">
      <c r="A200" s="8">
        <v>43468</v>
      </c>
      <c r="B200" s="4">
        <v>55.950001</v>
      </c>
      <c r="C200" s="4">
        <v>56.84</v>
      </c>
      <c r="D200" s="4">
        <v>55.52</v>
      </c>
      <c r="E200" s="4">
        <v>55.700001</v>
      </c>
      <c r="F200" s="4">
        <v>55.059769000000003</v>
      </c>
      <c r="G200" s="11">
        <v>14422200</v>
      </c>
      <c r="H200" s="3">
        <f>(QCOM[[#This Row],[Close]]-E199)/E199</f>
        <v>-2.9616741128336552E-2</v>
      </c>
    </row>
    <row r="201" spans="1:8" x14ac:dyDescent="0.25">
      <c r="A201" s="8">
        <v>43469</v>
      </c>
      <c r="B201" s="4">
        <v>56.5</v>
      </c>
      <c r="C201" s="4">
        <v>56.830002</v>
      </c>
      <c r="D201" s="4">
        <v>55.209999000000003</v>
      </c>
      <c r="E201" s="4">
        <v>56.599997999999999</v>
      </c>
      <c r="F201" s="4">
        <v>55.949421000000001</v>
      </c>
      <c r="G201" s="11">
        <v>14177300</v>
      </c>
      <c r="H201" s="3">
        <f>(QCOM[[#This Row],[Close]]-E200)/E200</f>
        <v>1.6157935077954471E-2</v>
      </c>
    </row>
    <row r="202" spans="1:8" x14ac:dyDescent="0.25">
      <c r="A202" s="8">
        <v>43472</v>
      </c>
      <c r="B202" s="4">
        <v>56.389999000000003</v>
      </c>
      <c r="C202" s="4">
        <v>57.16</v>
      </c>
      <c r="D202" s="4">
        <v>55.950001</v>
      </c>
      <c r="E202" s="4">
        <v>56.439999</v>
      </c>
      <c r="F202" s="4">
        <v>55.791260000000001</v>
      </c>
      <c r="G202" s="11">
        <v>12352000</v>
      </c>
      <c r="H202" s="3">
        <f>(QCOM[[#This Row],[Close]]-E201)/E201</f>
        <v>-2.8268375557186261E-3</v>
      </c>
    </row>
    <row r="203" spans="1:8" x14ac:dyDescent="0.25">
      <c r="A203" s="8">
        <v>43473</v>
      </c>
      <c r="B203" s="4">
        <v>56.709999000000003</v>
      </c>
      <c r="C203" s="4">
        <v>56.880001</v>
      </c>
      <c r="D203" s="4">
        <v>55.610000999999997</v>
      </c>
      <c r="E203" s="4">
        <v>55.950001</v>
      </c>
      <c r="F203" s="4">
        <v>55.306896000000002</v>
      </c>
      <c r="G203" s="11">
        <v>12110000</v>
      </c>
      <c r="H203" s="3">
        <f>(QCOM[[#This Row],[Close]]-E202)/E202</f>
        <v>-8.6817506853605706E-3</v>
      </c>
    </row>
    <row r="204" spans="1:8" x14ac:dyDescent="0.25">
      <c r="A204" s="8">
        <v>43474</v>
      </c>
      <c r="B204" s="4">
        <v>56.259998000000003</v>
      </c>
      <c r="C204" s="4">
        <v>57.110000999999997</v>
      </c>
      <c r="D204" s="4">
        <v>56.139999000000003</v>
      </c>
      <c r="E204" s="4">
        <v>56.610000999999997</v>
      </c>
      <c r="F204" s="4">
        <v>55.959308999999998</v>
      </c>
      <c r="G204" s="11">
        <v>10971000</v>
      </c>
      <c r="H204" s="3">
        <f>(QCOM[[#This Row],[Close]]-E203)/E203</f>
        <v>1.1796246437958001E-2</v>
      </c>
    </row>
    <row r="205" spans="1:8" x14ac:dyDescent="0.25">
      <c r="A205" s="8">
        <v>43475</v>
      </c>
      <c r="B205" s="4">
        <v>56.189999</v>
      </c>
      <c r="C205" s="4">
        <v>56.990001999999997</v>
      </c>
      <c r="D205" s="4">
        <v>56.099997999999999</v>
      </c>
      <c r="E205" s="4">
        <v>56.799999</v>
      </c>
      <c r="F205" s="4">
        <v>56.147125000000003</v>
      </c>
      <c r="G205" s="11">
        <v>10958200</v>
      </c>
      <c r="H205" s="3">
        <f>(QCOM[[#This Row],[Close]]-E204)/E204</f>
        <v>3.3562620852100461E-3</v>
      </c>
    </row>
    <row r="206" spans="1:8" x14ac:dyDescent="0.25">
      <c r="A206" s="8">
        <v>43476</v>
      </c>
      <c r="B206" s="4">
        <v>56.470001000000003</v>
      </c>
      <c r="C206" s="4">
        <v>58.169998</v>
      </c>
      <c r="D206" s="4">
        <v>56.330002</v>
      </c>
      <c r="E206" s="4">
        <v>57.5</v>
      </c>
      <c r="F206" s="4">
        <v>56.839081</v>
      </c>
      <c r="G206" s="11">
        <v>12024300</v>
      </c>
      <c r="H206" s="3">
        <f>(QCOM[[#This Row],[Close]]-E205)/E205</f>
        <v>1.2323961484576793E-2</v>
      </c>
    </row>
    <row r="207" spans="1:8" x14ac:dyDescent="0.25">
      <c r="A207" s="8">
        <v>43479</v>
      </c>
      <c r="B207" s="4">
        <v>57.02</v>
      </c>
      <c r="C207" s="4">
        <v>57.650002000000001</v>
      </c>
      <c r="D207" s="4">
        <v>56.369999</v>
      </c>
      <c r="E207" s="4">
        <v>57.299999</v>
      </c>
      <c r="F207" s="4">
        <v>56.641376000000001</v>
      </c>
      <c r="G207" s="11">
        <v>9449400</v>
      </c>
      <c r="H207" s="3">
        <f>(QCOM[[#This Row],[Close]]-E206)/E206</f>
        <v>-3.4782782608695707E-3</v>
      </c>
    </row>
    <row r="208" spans="1:8" x14ac:dyDescent="0.25">
      <c r="A208" s="8">
        <v>43480</v>
      </c>
      <c r="B208" s="4">
        <v>57.32</v>
      </c>
      <c r="C208" s="4">
        <v>57.400002000000001</v>
      </c>
      <c r="D208" s="4">
        <v>55.560001</v>
      </c>
      <c r="E208" s="4">
        <v>55.73</v>
      </c>
      <c r="F208" s="4">
        <v>55.089424000000001</v>
      </c>
      <c r="G208" s="11">
        <v>17423400</v>
      </c>
      <c r="H208" s="3">
        <f>(QCOM[[#This Row],[Close]]-E207)/E207</f>
        <v>-2.7399633986032054E-2</v>
      </c>
    </row>
    <row r="209" spans="1:8" x14ac:dyDescent="0.25">
      <c r="A209" s="8">
        <v>43481</v>
      </c>
      <c r="B209" s="4">
        <v>55.75</v>
      </c>
      <c r="C209" s="4">
        <v>56.080002</v>
      </c>
      <c r="D209" s="4">
        <v>55.16</v>
      </c>
      <c r="E209" s="4">
        <v>55.27</v>
      </c>
      <c r="F209" s="4">
        <v>54.634712</v>
      </c>
      <c r="G209" s="11">
        <v>13856000</v>
      </c>
      <c r="H209" s="3">
        <f>(QCOM[[#This Row],[Close]]-E208)/E208</f>
        <v>-8.2540821819485702E-3</v>
      </c>
    </row>
    <row r="210" spans="1:8" x14ac:dyDescent="0.25">
      <c r="A210" s="8">
        <v>43482</v>
      </c>
      <c r="B210" s="4">
        <v>54.970001000000003</v>
      </c>
      <c r="C210" s="4">
        <v>55.200001</v>
      </c>
      <c r="D210" s="4">
        <v>54.369999</v>
      </c>
      <c r="E210" s="4">
        <v>54.77</v>
      </c>
      <c r="F210" s="4">
        <v>54.140456999999998</v>
      </c>
      <c r="G210" s="11">
        <v>18365000</v>
      </c>
      <c r="H210" s="3">
        <f>(QCOM[[#This Row],[Close]]-E209)/E209</f>
        <v>-9.0464990048851092E-3</v>
      </c>
    </row>
    <row r="211" spans="1:8" x14ac:dyDescent="0.25">
      <c r="A211" s="8">
        <v>43483</v>
      </c>
      <c r="B211" s="4">
        <v>55.389999000000003</v>
      </c>
      <c r="C211" s="4">
        <v>55.900002000000001</v>
      </c>
      <c r="D211" s="4">
        <v>54.990001999999997</v>
      </c>
      <c r="E211" s="4">
        <v>55.27</v>
      </c>
      <c r="F211" s="4">
        <v>54.634712</v>
      </c>
      <c r="G211" s="11">
        <v>28020000</v>
      </c>
      <c r="H211" s="3">
        <f>(QCOM[[#This Row],[Close]]-E210)/E210</f>
        <v>9.1290852656563809E-3</v>
      </c>
    </row>
    <row r="212" spans="1:8" x14ac:dyDescent="0.25">
      <c r="A212" s="8">
        <v>43487</v>
      </c>
      <c r="B212" s="4">
        <v>54.970001000000003</v>
      </c>
      <c r="C212" s="4">
        <v>54.990001999999997</v>
      </c>
      <c r="D212" s="4">
        <v>53.939999</v>
      </c>
      <c r="E212" s="4">
        <v>54.290000999999997</v>
      </c>
      <c r="F212" s="4">
        <v>53.665976999999998</v>
      </c>
      <c r="G212" s="11">
        <v>17867500</v>
      </c>
      <c r="H212" s="3">
        <f>(QCOM[[#This Row],[Close]]-E211)/E211</f>
        <v>-1.7731119956576922E-2</v>
      </c>
    </row>
    <row r="213" spans="1:8" x14ac:dyDescent="0.25">
      <c r="A213" s="8">
        <v>43488</v>
      </c>
      <c r="B213" s="4">
        <v>52.919998</v>
      </c>
      <c r="C213" s="4">
        <v>53.57</v>
      </c>
      <c r="D213" s="4">
        <v>51.220001000000003</v>
      </c>
      <c r="E213" s="4">
        <v>51.77</v>
      </c>
      <c r="F213" s="4">
        <v>51.174942000000001</v>
      </c>
      <c r="G213" s="11">
        <v>33788600</v>
      </c>
      <c r="H213" s="3">
        <f>(QCOM[[#This Row],[Close]]-E212)/E212</f>
        <v>-4.6417405665547765E-2</v>
      </c>
    </row>
    <row r="214" spans="1:8" x14ac:dyDescent="0.25">
      <c r="A214" s="8">
        <v>43489</v>
      </c>
      <c r="B214" s="4">
        <v>51.950001</v>
      </c>
      <c r="C214" s="4">
        <v>51.98</v>
      </c>
      <c r="D214" s="4">
        <v>50.41</v>
      </c>
      <c r="E214" s="4">
        <v>50.810001</v>
      </c>
      <c r="F214" s="4">
        <v>50.225979000000002</v>
      </c>
      <c r="G214" s="11">
        <v>32782700</v>
      </c>
      <c r="H214" s="3">
        <f>(QCOM[[#This Row],[Close]]-E213)/E213</f>
        <v>-1.854353872899369E-2</v>
      </c>
    </row>
    <row r="215" spans="1:8" x14ac:dyDescent="0.25">
      <c r="A215" s="8">
        <v>43490</v>
      </c>
      <c r="B215" s="4">
        <v>50.93</v>
      </c>
      <c r="C215" s="4">
        <v>52.029998999999997</v>
      </c>
      <c r="D215" s="4">
        <v>50.279998999999997</v>
      </c>
      <c r="E215" s="4">
        <v>51.299999</v>
      </c>
      <c r="F215" s="4">
        <v>50.710341999999997</v>
      </c>
      <c r="G215" s="11">
        <v>19516200</v>
      </c>
      <c r="H215" s="3">
        <f>(QCOM[[#This Row],[Close]]-E214)/E214</f>
        <v>9.6437313591078242E-3</v>
      </c>
    </row>
    <row r="216" spans="1:8" x14ac:dyDescent="0.25">
      <c r="A216" s="8">
        <v>43493</v>
      </c>
      <c r="B216" s="4">
        <v>50.32</v>
      </c>
      <c r="C216" s="4">
        <v>51.290000999999997</v>
      </c>
      <c r="D216" s="4">
        <v>50.240001999999997</v>
      </c>
      <c r="E216" s="4">
        <v>50.639999000000003</v>
      </c>
      <c r="F216" s="4">
        <v>50.057929999999999</v>
      </c>
      <c r="G216" s="11">
        <v>24457600</v>
      </c>
      <c r="H216" s="3">
        <f>(QCOM[[#This Row],[Close]]-E215)/E215</f>
        <v>-1.2865497326812747E-2</v>
      </c>
    </row>
    <row r="217" spans="1:8" x14ac:dyDescent="0.25">
      <c r="A217" s="8">
        <v>43494</v>
      </c>
      <c r="B217" s="4">
        <v>50.490001999999997</v>
      </c>
      <c r="C217" s="4">
        <v>50.84</v>
      </c>
      <c r="D217" s="4">
        <v>49.34</v>
      </c>
      <c r="E217" s="4">
        <v>49.400002000000001</v>
      </c>
      <c r="F217" s="4">
        <v>48.832183999999998</v>
      </c>
      <c r="G217" s="11">
        <v>26266600</v>
      </c>
      <c r="H217" s="3">
        <f>(QCOM[[#This Row],[Close]]-E216)/E216</f>
        <v>-2.4486513121771632E-2</v>
      </c>
    </row>
    <row r="218" spans="1:8" x14ac:dyDescent="0.25">
      <c r="A218" s="8">
        <v>43495</v>
      </c>
      <c r="B218" s="4">
        <v>49.68</v>
      </c>
      <c r="C218" s="4">
        <v>50.869999</v>
      </c>
      <c r="D218" s="4">
        <v>49.209999000000003</v>
      </c>
      <c r="E218" s="4">
        <v>50.169998</v>
      </c>
      <c r="F218" s="4">
        <v>49.593330000000002</v>
      </c>
      <c r="G218" s="11">
        <v>18124100</v>
      </c>
      <c r="H218" s="3">
        <f>(QCOM[[#This Row],[Close]]-E217)/E217</f>
        <v>1.5586962931701885E-2</v>
      </c>
    </row>
    <row r="219" spans="1:8" x14ac:dyDescent="0.25">
      <c r="A219" s="8">
        <v>43496</v>
      </c>
      <c r="B219" s="4">
        <v>51.200001</v>
      </c>
      <c r="C219" s="4">
        <v>51.279998999999997</v>
      </c>
      <c r="D219" s="4">
        <v>49.099997999999999</v>
      </c>
      <c r="E219" s="4">
        <v>49.52</v>
      </c>
      <c r="F219" s="4">
        <v>48.950806</v>
      </c>
      <c r="G219" s="11">
        <v>24736300</v>
      </c>
      <c r="H219" s="3">
        <f>(QCOM[[#This Row],[Close]]-E218)/E218</f>
        <v>-1.2955910422798832E-2</v>
      </c>
    </row>
    <row r="220" spans="1:8" x14ac:dyDescent="0.25">
      <c r="A220" s="8">
        <v>43497</v>
      </c>
      <c r="B220" s="4">
        <v>49.580002</v>
      </c>
      <c r="C220" s="4">
        <v>50.279998999999997</v>
      </c>
      <c r="D220" s="4">
        <v>49.400002000000001</v>
      </c>
      <c r="E220" s="4">
        <v>49.610000999999997</v>
      </c>
      <c r="F220" s="4">
        <v>49.039768000000002</v>
      </c>
      <c r="G220" s="11">
        <v>15533200</v>
      </c>
      <c r="H220" s="3">
        <f>(QCOM[[#This Row],[Close]]-E219)/E219</f>
        <v>1.8174676898221683E-3</v>
      </c>
    </row>
    <row r="221" spans="1:8" x14ac:dyDescent="0.25">
      <c r="A221" s="8">
        <v>43500</v>
      </c>
      <c r="B221" s="4">
        <v>49.709999000000003</v>
      </c>
      <c r="C221" s="4">
        <v>49.799999</v>
      </c>
      <c r="D221" s="4">
        <v>49.470001000000003</v>
      </c>
      <c r="E221" s="4">
        <v>49.689999</v>
      </c>
      <c r="F221" s="4">
        <v>49.118847000000002</v>
      </c>
      <c r="G221" s="11">
        <v>10880000</v>
      </c>
      <c r="H221" s="3">
        <f>(QCOM[[#This Row],[Close]]-E220)/E220</f>
        <v>1.6125377622952144E-3</v>
      </c>
    </row>
    <row r="222" spans="1:8" x14ac:dyDescent="0.25">
      <c r="A222" s="8">
        <v>43501</v>
      </c>
      <c r="B222" s="4">
        <v>49.73</v>
      </c>
      <c r="C222" s="4">
        <v>51.080002</v>
      </c>
      <c r="D222" s="4">
        <v>49.720001000000003</v>
      </c>
      <c r="E222" s="4">
        <v>50.73</v>
      </c>
      <c r="F222" s="4">
        <v>50.146895999999998</v>
      </c>
      <c r="G222" s="11">
        <v>15454200</v>
      </c>
      <c r="H222" s="3">
        <f>(QCOM[[#This Row],[Close]]-E221)/E221</f>
        <v>2.0929785086129638E-2</v>
      </c>
    </row>
    <row r="223" spans="1:8" x14ac:dyDescent="0.25">
      <c r="A223" s="8">
        <v>43502</v>
      </c>
      <c r="B223" s="4">
        <v>50.939999</v>
      </c>
      <c r="C223" s="4">
        <v>51.639999000000003</v>
      </c>
      <c r="D223" s="4">
        <v>50.93</v>
      </c>
      <c r="E223" s="4">
        <v>51.099997999999999</v>
      </c>
      <c r="F223" s="4">
        <v>50.512642</v>
      </c>
      <c r="G223" s="11">
        <v>11052900</v>
      </c>
      <c r="H223" s="3">
        <f>(QCOM[[#This Row],[Close]]-E222)/E222</f>
        <v>7.2934752611867239E-3</v>
      </c>
    </row>
    <row r="224" spans="1:8" x14ac:dyDescent="0.25">
      <c r="A224" s="8">
        <v>43503</v>
      </c>
      <c r="B224" s="4">
        <v>50.830002</v>
      </c>
      <c r="C224" s="4">
        <v>51.119999</v>
      </c>
      <c r="D224" s="4">
        <v>50.27</v>
      </c>
      <c r="E224" s="4">
        <v>50.549999</v>
      </c>
      <c r="F224" s="4">
        <v>49.968964</v>
      </c>
      <c r="G224" s="11">
        <v>10623300</v>
      </c>
      <c r="H224" s="3">
        <f>(QCOM[[#This Row],[Close]]-E223)/E223</f>
        <v>-1.0763190245134641E-2</v>
      </c>
    </row>
    <row r="225" spans="1:8" x14ac:dyDescent="0.25">
      <c r="A225" s="8">
        <v>43504</v>
      </c>
      <c r="B225" s="4">
        <v>50.240001999999997</v>
      </c>
      <c r="C225" s="4">
        <v>50.68</v>
      </c>
      <c r="D225" s="4">
        <v>49.91</v>
      </c>
      <c r="E225" s="4">
        <v>50.290000999999997</v>
      </c>
      <c r="F225" s="4">
        <v>49.711951999999997</v>
      </c>
      <c r="G225" s="11">
        <v>12461200</v>
      </c>
      <c r="H225" s="3">
        <f>(QCOM[[#This Row],[Close]]-E224)/E224</f>
        <v>-5.1433828910659929E-3</v>
      </c>
    </row>
    <row r="226" spans="1:8" x14ac:dyDescent="0.25">
      <c r="A226" s="8">
        <v>43507</v>
      </c>
      <c r="B226" s="4">
        <v>50.549999</v>
      </c>
      <c r="C226" s="4">
        <v>51.299999</v>
      </c>
      <c r="D226" s="4">
        <v>50.380001</v>
      </c>
      <c r="E226" s="4">
        <v>50.830002</v>
      </c>
      <c r="F226" s="4">
        <v>50.245747000000001</v>
      </c>
      <c r="G226" s="11">
        <v>9971800</v>
      </c>
      <c r="H226" s="3">
        <f>(QCOM[[#This Row],[Close]]-E225)/E225</f>
        <v>1.0737740888094311E-2</v>
      </c>
    </row>
    <row r="227" spans="1:8" x14ac:dyDescent="0.25">
      <c r="A227" s="8">
        <v>43508</v>
      </c>
      <c r="B227" s="4">
        <v>51.299999</v>
      </c>
      <c r="C227" s="4">
        <v>52.18</v>
      </c>
      <c r="D227" s="4">
        <v>51.02</v>
      </c>
      <c r="E227" s="4">
        <v>51.66</v>
      </c>
      <c r="F227" s="4">
        <v>51.066203999999999</v>
      </c>
      <c r="G227" s="11">
        <v>16637600</v>
      </c>
      <c r="H227" s="3">
        <f>(QCOM[[#This Row],[Close]]-E226)/E226</f>
        <v>1.632889961326376E-2</v>
      </c>
    </row>
    <row r="228" spans="1:8" x14ac:dyDescent="0.25">
      <c r="A228" s="8">
        <v>43509</v>
      </c>
      <c r="B228" s="4">
        <v>52</v>
      </c>
      <c r="C228" s="4">
        <v>52.490001999999997</v>
      </c>
      <c r="D228" s="4">
        <v>51.560001</v>
      </c>
      <c r="E228" s="4">
        <v>51.59</v>
      </c>
      <c r="F228" s="4">
        <v>50.997008999999998</v>
      </c>
      <c r="G228" s="11">
        <v>11004000</v>
      </c>
      <c r="H228" s="3">
        <f>(QCOM[[#This Row],[Close]]-E227)/E227</f>
        <v>-1.3550135501353693E-3</v>
      </c>
    </row>
    <row r="229" spans="1:8" x14ac:dyDescent="0.25">
      <c r="A229" s="8">
        <v>43510</v>
      </c>
      <c r="B229" s="4">
        <v>51.5</v>
      </c>
      <c r="C229" s="4">
        <v>51.77</v>
      </c>
      <c r="D229" s="4">
        <v>51.09</v>
      </c>
      <c r="E229" s="4">
        <v>51.57</v>
      </c>
      <c r="F229" s="4">
        <v>50.977241999999997</v>
      </c>
      <c r="G229" s="11">
        <v>17895000</v>
      </c>
      <c r="H229" s="3">
        <f>(QCOM[[#This Row],[Close]]-E228)/E228</f>
        <v>-3.8767202946313482E-4</v>
      </c>
    </row>
    <row r="230" spans="1:8" x14ac:dyDescent="0.25">
      <c r="A230" s="8">
        <v>43511</v>
      </c>
      <c r="B230" s="4">
        <v>52.080002</v>
      </c>
      <c r="C230" s="4">
        <v>52.360000999999997</v>
      </c>
      <c r="D230" s="4">
        <v>51.599997999999999</v>
      </c>
      <c r="E230" s="4">
        <v>51.98</v>
      </c>
      <c r="F230" s="4">
        <v>51.382525999999999</v>
      </c>
      <c r="G230" s="11">
        <v>12239500</v>
      </c>
      <c r="H230" s="3">
        <f>(QCOM[[#This Row],[Close]]-E229)/E229</f>
        <v>7.9503587356989838E-3</v>
      </c>
    </row>
    <row r="231" spans="1:8" x14ac:dyDescent="0.25">
      <c r="A231" s="8">
        <v>43515</v>
      </c>
      <c r="B231" s="4">
        <v>52</v>
      </c>
      <c r="C231" s="4">
        <v>52.48</v>
      </c>
      <c r="D231" s="4">
        <v>51.75</v>
      </c>
      <c r="E231" s="4">
        <v>52.009998000000003</v>
      </c>
      <c r="F231" s="4">
        <v>51.412182000000001</v>
      </c>
      <c r="G231" s="11">
        <v>8258400</v>
      </c>
      <c r="H231" s="3">
        <f>(QCOM[[#This Row],[Close]]-E230)/E230</f>
        <v>5.7710657945375503E-4</v>
      </c>
    </row>
    <row r="232" spans="1:8" x14ac:dyDescent="0.25">
      <c r="A232" s="8">
        <v>43516</v>
      </c>
      <c r="B232" s="4">
        <v>52.25</v>
      </c>
      <c r="C232" s="4">
        <v>52.919998</v>
      </c>
      <c r="D232" s="4">
        <v>52.139999000000003</v>
      </c>
      <c r="E232" s="4">
        <v>52.450001</v>
      </c>
      <c r="F232" s="4">
        <v>51.847126000000003</v>
      </c>
      <c r="G232" s="11">
        <v>12863700</v>
      </c>
      <c r="H232" s="3">
        <f>(QCOM[[#This Row],[Close]]-E231)/E231</f>
        <v>8.4599695620060818E-3</v>
      </c>
    </row>
    <row r="233" spans="1:8" x14ac:dyDescent="0.25">
      <c r="A233" s="8">
        <v>43517</v>
      </c>
      <c r="B233" s="4">
        <v>52.5</v>
      </c>
      <c r="C233" s="4">
        <v>52.59</v>
      </c>
      <c r="D233" s="4">
        <v>51.900002000000001</v>
      </c>
      <c r="E233" s="4">
        <v>52.349997999999999</v>
      </c>
      <c r="F233" s="4">
        <v>51.748272</v>
      </c>
      <c r="G233" s="11">
        <v>7826200</v>
      </c>
      <c r="H233" s="3">
        <f>(QCOM[[#This Row],[Close]]-E232)/E232</f>
        <v>-1.906634854020326E-3</v>
      </c>
    </row>
    <row r="234" spans="1:8" x14ac:dyDescent="0.25">
      <c r="A234" s="8">
        <v>43518</v>
      </c>
      <c r="B234" s="4">
        <v>52.689999</v>
      </c>
      <c r="C234" s="4">
        <v>53.150002000000001</v>
      </c>
      <c r="D234" s="4">
        <v>52.639999000000003</v>
      </c>
      <c r="E234" s="4">
        <v>53.119999</v>
      </c>
      <c r="F234" s="4">
        <v>52.509422000000001</v>
      </c>
      <c r="G234" s="11">
        <v>13394500</v>
      </c>
      <c r="H234" s="3">
        <f>(QCOM[[#This Row],[Close]]-E233)/E233</f>
        <v>1.4708711163656598E-2</v>
      </c>
    </row>
    <row r="235" spans="1:8" x14ac:dyDescent="0.25">
      <c r="A235" s="8">
        <v>43521</v>
      </c>
      <c r="B235" s="4">
        <v>53.779998999999997</v>
      </c>
      <c r="C235" s="4">
        <v>53.970001000000003</v>
      </c>
      <c r="D235" s="4">
        <v>52.900002000000001</v>
      </c>
      <c r="E235" s="4">
        <v>52.990001999999997</v>
      </c>
      <c r="F235" s="4">
        <v>52.380920000000003</v>
      </c>
      <c r="G235" s="11">
        <v>15341700</v>
      </c>
      <c r="H235" s="3">
        <f>(QCOM[[#This Row],[Close]]-E234)/E234</f>
        <v>-2.4472327267928418E-3</v>
      </c>
    </row>
    <row r="236" spans="1:8" x14ac:dyDescent="0.25">
      <c r="A236" s="8">
        <v>43522</v>
      </c>
      <c r="B236" s="4">
        <v>53.080002</v>
      </c>
      <c r="C236" s="4">
        <v>53.220001000000003</v>
      </c>
      <c r="D236" s="4">
        <v>52.279998999999997</v>
      </c>
      <c r="E236" s="4">
        <v>53.029998999999997</v>
      </c>
      <c r="F236" s="4">
        <v>52.420456000000001</v>
      </c>
      <c r="G236" s="11">
        <v>11366700</v>
      </c>
      <c r="H236" s="3">
        <f>(QCOM[[#This Row],[Close]]-E235)/E235</f>
        <v>7.5480276449130192E-4</v>
      </c>
    </row>
    <row r="237" spans="1:8" x14ac:dyDescent="0.25">
      <c r="A237" s="8">
        <v>43523</v>
      </c>
      <c r="B237" s="4">
        <v>52.950001</v>
      </c>
      <c r="C237" s="4">
        <v>53.130001</v>
      </c>
      <c r="D237" s="4">
        <v>52.27</v>
      </c>
      <c r="E237" s="4">
        <v>53.040000999999997</v>
      </c>
      <c r="F237" s="4">
        <v>52.430343999999998</v>
      </c>
      <c r="G237" s="11">
        <v>10426200</v>
      </c>
      <c r="H237" s="3">
        <f>(QCOM[[#This Row],[Close]]-E236)/E236</f>
        <v>1.886102241865037E-4</v>
      </c>
    </row>
    <row r="238" spans="1:8" x14ac:dyDescent="0.25">
      <c r="A238" s="8">
        <v>43524</v>
      </c>
      <c r="B238" s="4">
        <v>53</v>
      </c>
      <c r="C238" s="4">
        <v>53.759998000000003</v>
      </c>
      <c r="D238" s="4">
        <v>52.709999000000003</v>
      </c>
      <c r="E238" s="4">
        <v>53.389999000000003</v>
      </c>
      <c r="F238" s="4">
        <v>52.776321000000003</v>
      </c>
      <c r="G238" s="11">
        <v>19000200</v>
      </c>
      <c r="H238" s="3">
        <f>(QCOM[[#This Row],[Close]]-E237)/E237</f>
        <v>6.598755531697793E-3</v>
      </c>
    </row>
    <row r="239" spans="1:8" x14ac:dyDescent="0.25">
      <c r="A239" s="8">
        <v>43525</v>
      </c>
      <c r="B239" s="4">
        <v>54</v>
      </c>
      <c r="C239" s="4">
        <v>54.400002000000001</v>
      </c>
      <c r="D239" s="4">
        <v>53.709999000000003</v>
      </c>
      <c r="E239" s="4">
        <v>54.200001</v>
      </c>
      <c r="F239" s="4">
        <v>53.577010999999999</v>
      </c>
      <c r="G239" s="11">
        <v>12659000</v>
      </c>
      <c r="H239" s="3">
        <f>(QCOM[[#This Row],[Close]]-E238)/E238</f>
        <v>1.5171418152676818E-2</v>
      </c>
    </row>
    <row r="240" spans="1:8" x14ac:dyDescent="0.25">
      <c r="A240" s="8">
        <v>43528</v>
      </c>
      <c r="B240" s="4">
        <v>54.580002</v>
      </c>
      <c r="C240" s="4">
        <v>54.700001</v>
      </c>
      <c r="D240" s="4">
        <v>53.259998000000003</v>
      </c>
      <c r="E240" s="4">
        <v>53.779998999999997</v>
      </c>
      <c r="F240" s="4">
        <v>53.161835000000004</v>
      </c>
      <c r="G240" s="11">
        <v>14021700</v>
      </c>
      <c r="H240" s="3">
        <f>(QCOM[[#This Row],[Close]]-E239)/E239</f>
        <v>-7.7491142481713928E-3</v>
      </c>
    </row>
    <row r="241" spans="1:8" x14ac:dyDescent="0.25">
      <c r="A241" s="8">
        <v>43529</v>
      </c>
      <c r="B241" s="4">
        <v>53.900002000000001</v>
      </c>
      <c r="C241" s="4">
        <v>54.23</v>
      </c>
      <c r="D241" s="4">
        <v>53.700001</v>
      </c>
      <c r="E241" s="4">
        <v>53.939999</v>
      </c>
      <c r="F241" s="4">
        <v>53.319996000000003</v>
      </c>
      <c r="G241" s="11">
        <v>10092800</v>
      </c>
      <c r="H241" s="3">
        <f>(QCOM[[#This Row],[Close]]-E240)/E240</f>
        <v>2.9750837295479254E-3</v>
      </c>
    </row>
    <row r="242" spans="1:8" x14ac:dyDescent="0.25">
      <c r="A242" s="8">
        <v>43530</v>
      </c>
      <c r="B242" s="4">
        <v>53.889999000000003</v>
      </c>
      <c r="C242" s="4">
        <v>55.459999000000003</v>
      </c>
      <c r="D242" s="4">
        <v>53.73</v>
      </c>
      <c r="E242" s="4">
        <v>54.799999</v>
      </c>
      <c r="F242" s="4">
        <v>54.799999</v>
      </c>
      <c r="G242" s="11">
        <v>20521300</v>
      </c>
      <c r="H242" s="3">
        <f>(QCOM[[#This Row],[Close]]-E241)/E241</f>
        <v>1.5943641378265497E-2</v>
      </c>
    </row>
    <row r="243" spans="1:8" x14ac:dyDescent="0.25">
      <c r="A243" s="8">
        <v>43531</v>
      </c>
      <c r="B243" s="4">
        <v>54.830002</v>
      </c>
      <c r="C243" s="4">
        <v>55.049999</v>
      </c>
      <c r="D243" s="4">
        <v>53.610000999999997</v>
      </c>
      <c r="E243" s="4">
        <v>54.029998999999997</v>
      </c>
      <c r="F243" s="4">
        <v>54.029998999999997</v>
      </c>
      <c r="G243" s="11">
        <v>13667300</v>
      </c>
      <c r="H243" s="3">
        <f>(QCOM[[#This Row],[Close]]-E242)/E242</f>
        <v>-1.4051095146917852E-2</v>
      </c>
    </row>
    <row r="244" spans="1:8" x14ac:dyDescent="0.25">
      <c r="A244" s="8">
        <v>43532</v>
      </c>
      <c r="B244" s="4">
        <v>53.450001</v>
      </c>
      <c r="C244" s="4">
        <v>53.630001</v>
      </c>
      <c r="D244" s="4">
        <v>53.029998999999997</v>
      </c>
      <c r="E244" s="4">
        <v>53.529998999999997</v>
      </c>
      <c r="F244" s="4">
        <v>53.529998999999997</v>
      </c>
      <c r="G244" s="11">
        <v>10117100</v>
      </c>
      <c r="H244" s="3">
        <f>(QCOM[[#This Row],[Close]]-E243)/E243</f>
        <v>-9.2541182538241392E-3</v>
      </c>
    </row>
    <row r="245" spans="1:8" x14ac:dyDescent="0.25">
      <c r="A245" s="8">
        <v>43535</v>
      </c>
      <c r="B245" s="4">
        <v>53.720001000000003</v>
      </c>
      <c r="C245" s="4">
        <v>54.75</v>
      </c>
      <c r="D245" s="4">
        <v>53.650002000000001</v>
      </c>
      <c r="E245" s="4">
        <v>54.349997999999999</v>
      </c>
      <c r="F245" s="4">
        <v>54.349997999999999</v>
      </c>
      <c r="G245" s="11">
        <v>10738800</v>
      </c>
      <c r="H245" s="3">
        <f>(QCOM[[#This Row],[Close]]-E244)/E244</f>
        <v>1.5318494588427002E-2</v>
      </c>
    </row>
    <row r="246" spans="1:8" x14ac:dyDescent="0.25">
      <c r="A246" s="8">
        <v>43536</v>
      </c>
      <c r="B246" s="4">
        <v>54.66</v>
      </c>
      <c r="C246" s="4">
        <v>55.310001</v>
      </c>
      <c r="D246" s="4">
        <v>54.540000999999997</v>
      </c>
      <c r="E246" s="4">
        <v>54.84</v>
      </c>
      <c r="F246" s="4">
        <v>54.84</v>
      </c>
      <c r="G246" s="11">
        <v>9575300</v>
      </c>
      <c r="H246" s="3">
        <f>(QCOM[[#This Row],[Close]]-E245)/E245</f>
        <v>9.0156765047167808E-3</v>
      </c>
    </row>
    <row r="247" spans="1:8" x14ac:dyDescent="0.25">
      <c r="A247" s="8">
        <v>43537</v>
      </c>
      <c r="B247" s="4">
        <v>55.029998999999997</v>
      </c>
      <c r="C247" s="4">
        <v>55.939999</v>
      </c>
      <c r="D247" s="4">
        <v>55</v>
      </c>
      <c r="E247" s="4">
        <v>55.389999000000003</v>
      </c>
      <c r="F247" s="4">
        <v>55.389999000000003</v>
      </c>
      <c r="G247" s="11">
        <v>9198900</v>
      </c>
      <c r="H247" s="3">
        <f>(QCOM[[#This Row],[Close]]-E246)/E246</f>
        <v>1.0029157549234129E-2</v>
      </c>
    </row>
    <row r="248" spans="1:8" x14ac:dyDescent="0.25">
      <c r="A248" s="8">
        <v>43538</v>
      </c>
      <c r="B248" s="4">
        <v>55.529998999999997</v>
      </c>
      <c r="C248" s="4">
        <v>55.869999</v>
      </c>
      <c r="D248" s="4">
        <v>55.25</v>
      </c>
      <c r="E248" s="4">
        <v>55.400002000000001</v>
      </c>
      <c r="F248" s="4">
        <v>55.400002000000001</v>
      </c>
      <c r="G248" s="11">
        <v>7306100</v>
      </c>
      <c r="H248" s="3">
        <f>(QCOM[[#This Row],[Close]]-E247)/E247</f>
        <v>1.8059216791098951E-4</v>
      </c>
    </row>
    <row r="249" spans="1:8" x14ac:dyDescent="0.25">
      <c r="A249" s="8">
        <v>43539</v>
      </c>
      <c r="B249" s="4">
        <v>55</v>
      </c>
      <c r="C249" s="4">
        <v>57.34</v>
      </c>
      <c r="D249" s="4">
        <v>54.919998</v>
      </c>
      <c r="E249" s="4">
        <v>56.599997999999999</v>
      </c>
      <c r="F249" s="4">
        <v>56.599997999999999</v>
      </c>
      <c r="G249" s="11">
        <v>27985600</v>
      </c>
      <c r="H249" s="3">
        <f>(QCOM[[#This Row],[Close]]-E248)/E248</f>
        <v>2.1660576835358214E-2</v>
      </c>
    </row>
    <row r="250" spans="1:8" x14ac:dyDescent="0.25">
      <c r="A250" s="8">
        <v>43542</v>
      </c>
      <c r="B250" s="4">
        <v>56.619999</v>
      </c>
      <c r="C250" s="4">
        <v>57.189999</v>
      </c>
      <c r="D250" s="4">
        <v>56.439999</v>
      </c>
      <c r="E250" s="4">
        <v>56.830002</v>
      </c>
      <c r="F250" s="4">
        <v>56.830002</v>
      </c>
      <c r="G250" s="11">
        <v>13089300</v>
      </c>
      <c r="H250" s="3">
        <f>(QCOM[[#This Row],[Close]]-E249)/E249</f>
        <v>4.0636750552535527E-3</v>
      </c>
    </row>
    <row r="251" spans="1:8" x14ac:dyDescent="0.25">
      <c r="A251" s="8">
        <v>43543</v>
      </c>
      <c r="B251" s="4">
        <v>57.169998</v>
      </c>
      <c r="C251" s="4">
        <v>57.68</v>
      </c>
      <c r="D251" s="4">
        <v>56.779998999999997</v>
      </c>
      <c r="E251" s="4">
        <v>56.970001000000003</v>
      </c>
      <c r="F251" s="4">
        <v>56.970001000000003</v>
      </c>
      <c r="G251" s="11">
        <v>9363700</v>
      </c>
      <c r="H251" s="3">
        <f>(QCOM[[#This Row],[Close]]-E250)/E250</f>
        <v>2.4634699115443125E-3</v>
      </c>
    </row>
    <row r="252" spans="1:8" x14ac:dyDescent="0.25">
      <c r="A252" s="8">
        <v>43544</v>
      </c>
      <c r="B252" s="4">
        <v>57.029998999999997</v>
      </c>
      <c r="C252" s="4">
        <v>57.689999</v>
      </c>
      <c r="D252" s="4">
        <v>56.75</v>
      </c>
      <c r="E252" s="4">
        <v>57.16</v>
      </c>
      <c r="F252" s="4">
        <v>57.16</v>
      </c>
      <c r="G252" s="11">
        <v>8804800</v>
      </c>
      <c r="H252" s="3">
        <f>(QCOM[[#This Row],[Close]]-E251)/E251</f>
        <v>3.3350710315064439E-3</v>
      </c>
    </row>
    <row r="253" spans="1:8" x14ac:dyDescent="0.25">
      <c r="A253" s="8">
        <v>43545</v>
      </c>
      <c r="B253" s="4">
        <v>57.23</v>
      </c>
      <c r="C253" s="4">
        <v>58.279998999999997</v>
      </c>
      <c r="D253" s="4">
        <v>57.200001</v>
      </c>
      <c r="E253" s="4">
        <v>57.77</v>
      </c>
      <c r="F253" s="4">
        <v>57.77</v>
      </c>
      <c r="G253" s="11">
        <v>19542700</v>
      </c>
      <c r="H253" s="3">
        <f>(QCOM[[#This Row],[Close]]-E252)/E252</f>
        <v>1.0671798460461977E-2</v>
      </c>
    </row>
    <row r="254" spans="1:8" x14ac:dyDescent="0.25">
      <c r="A254" s="8">
        <v>43546</v>
      </c>
      <c r="B254" s="4">
        <v>57.68</v>
      </c>
      <c r="C254" s="4">
        <v>58.09</v>
      </c>
      <c r="D254" s="4">
        <v>56.75</v>
      </c>
      <c r="E254" s="4">
        <v>56.82</v>
      </c>
      <c r="F254" s="4">
        <v>56.82</v>
      </c>
      <c r="G254" s="11">
        <v>10241800</v>
      </c>
      <c r="H254" s="3">
        <f>(QCOM[[#This Row],[Close]]-E253)/E253</f>
        <v>-1.644452137787784E-2</v>
      </c>
    </row>
  </sheetData>
  <mergeCells count="4">
    <mergeCell ref="A1:D1"/>
    <mergeCell ref="E1:H1"/>
    <mergeCell ref="A2:D2"/>
    <mergeCell ref="E2:H2"/>
  </mergeCells>
  <conditionalFormatting sqref="A6:H254">
    <cfRule type="expression" dxfId="37" priority="1">
      <formula>$H6&lt;=SMALL($H:$H,5)</formula>
    </cfRule>
    <cfRule type="expression" dxfId="36" priority="2">
      <formula>$H6&gt;=LARGE($H:$H,5)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254"/>
  <sheetViews>
    <sheetView topLeftCell="A214" workbookViewId="0">
      <selection activeCell="I13" sqref="I13"/>
    </sheetView>
  </sheetViews>
  <sheetFormatPr defaultRowHeight="15" x14ac:dyDescent="0.25"/>
  <cols>
    <col min="1" max="1" width="16.5703125" customWidth="1"/>
    <col min="2" max="2" width="13.85546875" customWidth="1"/>
    <col min="3" max="4" width="12" customWidth="1"/>
    <col min="5" max="5" width="12.42578125" customWidth="1"/>
    <col min="6" max="6" width="14" customWidth="1"/>
    <col min="7" max="7" width="15" customWidth="1"/>
    <col min="8" max="8" width="21.42578125" customWidth="1"/>
  </cols>
  <sheetData>
    <row r="1" spans="1:8" ht="30" customHeight="1" x14ac:dyDescent="0.25">
      <c r="A1" s="48" t="s">
        <v>40</v>
      </c>
      <c r="B1" s="48"/>
      <c r="C1" s="48"/>
      <c r="D1" s="48"/>
      <c r="E1" s="48"/>
      <c r="F1" s="48"/>
      <c r="G1" s="16"/>
      <c r="H1" s="16"/>
    </row>
    <row r="2" spans="1:8" ht="30" customHeight="1" thickBot="1" x14ac:dyDescent="0.3">
      <c r="A2" s="49"/>
      <c r="B2" s="49"/>
      <c r="C2" s="49"/>
      <c r="D2" s="49"/>
      <c r="E2" s="49"/>
      <c r="F2" s="49"/>
      <c r="G2" s="16"/>
      <c r="H2" s="16"/>
    </row>
    <row r="3" spans="1:8" x14ac:dyDescent="0.25">
      <c r="A3" s="13"/>
      <c r="B3" s="14"/>
      <c r="C3" s="13"/>
      <c r="D3" s="14"/>
      <c r="E3" s="14"/>
      <c r="F3" s="18"/>
      <c r="G3" s="12"/>
      <c r="H3" s="12"/>
    </row>
    <row r="4" spans="1:8" ht="30" customHeight="1" x14ac:dyDescent="0.25">
      <c r="A4" s="9" t="s">
        <v>0</v>
      </c>
      <c r="B4" s="15" t="s">
        <v>30</v>
      </c>
      <c r="C4" s="9" t="s">
        <v>32</v>
      </c>
      <c r="D4" s="9" t="s">
        <v>34</v>
      </c>
      <c r="E4" s="9" t="s">
        <v>36</v>
      </c>
      <c r="F4" s="9" t="s">
        <v>38</v>
      </c>
    </row>
    <row r="5" spans="1:8" x14ac:dyDescent="0.25">
      <c r="A5" s="8">
        <v>43185</v>
      </c>
      <c r="B5" s="4">
        <f>AAPL[[#This Row],[Close]]</f>
        <v>172.770004</v>
      </c>
      <c r="C5" s="4">
        <f>AMD[[#This Row],[Close]]</f>
        <v>10.44</v>
      </c>
      <c r="D5" s="4">
        <f>INTC[[#This Row],[Close]]</f>
        <v>52.48</v>
      </c>
      <c r="E5" s="4">
        <f>NVDA[[#This Row],[Close]]</f>
        <v>244.479996</v>
      </c>
      <c r="F5" s="4">
        <f>QCOM[[#This Row],[Close]]</f>
        <v>56.130001</v>
      </c>
    </row>
    <row r="6" spans="1:8" x14ac:dyDescent="0.25">
      <c r="A6" s="8">
        <v>43186</v>
      </c>
      <c r="B6" s="4">
        <f>AAPL[[#This Row],[Close]]</f>
        <v>168.33999600000001</v>
      </c>
      <c r="C6" s="4">
        <f>AMD[[#This Row],[Close]]</f>
        <v>10</v>
      </c>
      <c r="D6" s="4">
        <f>INTC[[#This Row],[Close]]</f>
        <v>51.189999</v>
      </c>
      <c r="E6" s="4">
        <f>NVDA[[#This Row],[Close]]</f>
        <v>225.520004</v>
      </c>
      <c r="F6" s="4">
        <f>QCOM[[#This Row],[Close]]</f>
        <v>54.84</v>
      </c>
    </row>
    <row r="7" spans="1:8" x14ac:dyDescent="0.25">
      <c r="A7" s="8">
        <v>43187</v>
      </c>
      <c r="B7" s="4">
        <f>AAPL[[#This Row],[Close]]</f>
        <v>166.479996</v>
      </c>
      <c r="C7" s="4">
        <f>AMD[[#This Row],[Close]]</f>
        <v>9.81</v>
      </c>
      <c r="D7" s="4">
        <f>INTC[[#This Row],[Close]]</f>
        <v>49.599997999999999</v>
      </c>
      <c r="E7" s="4">
        <f>NVDA[[#This Row],[Close]]</f>
        <v>221.35000600000001</v>
      </c>
      <c r="F7" s="4">
        <f>QCOM[[#This Row],[Close]]</f>
        <v>54.700001</v>
      </c>
    </row>
    <row r="8" spans="1:8" x14ac:dyDescent="0.25">
      <c r="A8" s="8">
        <v>43188</v>
      </c>
      <c r="B8" s="4">
        <f>AAPL[[#This Row],[Close]]</f>
        <v>167.779999</v>
      </c>
      <c r="C8" s="4">
        <f>AMD[[#This Row],[Close]]</f>
        <v>10.050000000000001</v>
      </c>
      <c r="D8" s="4">
        <f>INTC[[#This Row],[Close]]</f>
        <v>52.080002</v>
      </c>
      <c r="E8" s="4">
        <f>NVDA[[#This Row],[Close]]</f>
        <v>231.58999600000001</v>
      </c>
      <c r="F8" s="4">
        <f>QCOM[[#This Row],[Close]]</f>
        <v>55.41</v>
      </c>
    </row>
    <row r="9" spans="1:8" x14ac:dyDescent="0.25">
      <c r="A9" s="8">
        <v>43192</v>
      </c>
      <c r="B9" s="4">
        <f>AAPL[[#This Row],[Close]]</f>
        <v>166.679993</v>
      </c>
      <c r="C9" s="4">
        <f>AMD[[#This Row],[Close]]</f>
        <v>9.5299999999999994</v>
      </c>
      <c r="D9" s="4">
        <f>INTC[[#This Row],[Close]]</f>
        <v>48.919998</v>
      </c>
      <c r="E9" s="4">
        <f>NVDA[[#This Row],[Close]]</f>
        <v>221.050003</v>
      </c>
      <c r="F9" s="4">
        <f>QCOM[[#This Row],[Close]]</f>
        <v>53.810001</v>
      </c>
    </row>
    <row r="10" spans="1:8" x14ac:dyDescent="0.25">
      <c r="A10" s="8">
        <v>43193</v>
      </c>
      <c r="B10" s="4">
        <f>AAPL[[#This Row],[Close]]</f>
        <v>168.38999899999999</v>
      </c>
      <c r="C10" s="4">
        <f>AMD[[#This Row],[Close]]</f>
        <v>9.5500000000000007</v>
      </c>
      <c r="D10" s="4">
        <f>INTC[[#This Row],[Close]]</f>
        <v>49.75</v>
      </c>
      <c r="E10" s="4">
        <f>NVDA[[#This Row],[Close]]</f>
        <v>225.35000600000001</v>
      </c>
      <c r="F10" s="4">
        <f>QCOM[[#This Row],[Close]]</f>
        <v>54.779998999999997</v>
      </c>
    </row>
    <row r="11" spans="1:8" x14ac:dyDescent="0.25">
      <c r="A11" s="8">
        <v>43194</v>
      </c>
      <c r="B11" s="4">
        <f>AAPL[[#This Row],[Close]]</f>
        <v>171.61000100000001</v>
      </c>
      <c r="C11" s="4">
        <f>AMD[[#This Row],[Close]]</f>
        <v>9.77</v>
      </c>
      <c r="D11" s="4">
        <f>INTC[[#This Row],[Close]]</f>
        <v>49.990001999999997</v>
      </c>
      <c r="E11" s="4">
        <f>NVDA[[#This Row],[Close]]</f>
        <v>226.240005</v>
      </c>
      <c r="F11" s="4">
        <f>QCOM[[#This Row],[Close]]</f>
        <v>54.990001999999997</v>
      </c>
    </row>
    <row r="12" spans="1:8" x14ac:dyDescent="0.25">
      <c r="A12" s="8">
        <v>43195</v>
      </c>
      <c r="B12" s="4">
        <f>AAPL[[#This Row],[Close]]</f>
        <v>172.800003</v>
      </c>
      <c r="C12" s="4">
        <f>AMD[[#This Row],[Close]]</f>
        <v>10.02</v>
      </c>
      <c r="D12" s="4">
        <f>INTC[[#This Row],[Close]]</f>
        <v>50.380001</v>
      </c>
      <c r="E12" s="4">
        <f>NVDA[[#This Row],[Close]]</f>
        <v>221.38000500000001</v>
      </c>
      <c r="F12" s="4">
        <f>QCOM[[#This Row],[Close]]</f>
        <v>55.040000999999997</v>
      </c>
    </row>
    <row r="13" spans="1:8" x14ac:dyDescent="0.25">
      <c r="A13" s="8">
        <v>43196</v>
      </c>
      <c r="B13" s="4">
        <f>AAPL[[#This Row],[Close]]</f>
        <v>168.38000500000001</v>
      </c>
      <c r="C13" s="4">
        <f>AMD[[#This Row],[Close]]</f>
        <v>9.61</v>
      </c>
      <c r="D13" s="4">
        <f>INTC[[#This Row],[Close]]</f>
        <v>48.790000999999997</v>
      </c>
      <c r="E13" s="4">
        <f>NVDA[[#This Row],[Close]]</f>
        <v>214.25</v>
      </c>
      <c r="F13" s="4">
        <f>QCOM[[#This Row],[Close]]</f>
        <v>53.119999</v>
      </c>
    </row>
    <row r="14" spans="1:8" x14ac:dyDescent="0.25">
      <c r="A14" s="8">
        <v>43199</v>
      </c>
      <c r="B14" s="4">
        <f>AAPL[[#This Row],[Close]]</f>
        <v>170.050003</v>
      </c>
      <c r="C14" s="4">
        <f>AMD[[#This Row],[Close]]</f>
        <v>9.5299999999999994</v>
      </c>
      <c r="D14" s="4">
        <f>INTC[[#This Row],[Close]]</f>
        <v>49.549999</v>
      </c>
      <c r="E14" s="4">
        <f>NVDA[[#This Row],[Close]]</f>
        <v>215.41000399999999</v>
      </c>
      <c r="F14" s="4">
        <f>QCOM[[#This Row],[Close]]</f>
        <v>53.43</v>
      </c>
    </row>
    <row r="15" spans="1:8" x14ac:dyDescent="0.25">
      <c r="A15" s="8">
        <v>43200</v>
      </c>
      <c r="B15" s="4">
        <f>AAPL[[#This Row],[Close]]</f>
        <v>173.25</v>
      </c>
      <c r="C15" s="4">
        <f>AMD[[#This Row],[Close]]</f>
        <v>9.98</v>
      </c>
      <c r="D15" s="4">
        <f>INTC[[#This Row],[Close]]</f>
        <v>51.27</v>
      </c>
      <c r="E15" s="4">
        <f>NVDA[[#This Row],[Close]]</f>
        <v>227.91000399999999</v>
      </c>
      <c r="F15" s="4">
        <f>QCOM[[#This Row],[Close]]</f>
        <v>54.77</v>
      </c>
    </row>
    <row r="16" spans="1:8" x14ac:dyDescent="0.25">
      <c r="A16" s="8">
        <v>43201</v>
      </c>
      <c r="B16" s="4">
        <f>AAPL[[#This Row],[Close]]</f>
        <v>172.44000199999999</v>
      </c>
      <c r="C16" s="4">
        <f>AMD[[#This Row],[Close]]</f>
        <v>9.82</v>
      </c>
      <c r="D16" s="4">
        <f>INTC[[#This Row],[Close]]</f>
        <v>51.099997999999999</v>
      </c>
      <c r="E16" s="4">
        <f>NVDA[[#This Row],[Close]]</f>
        <v>226.240005</v>
      </c>
      <c r="F16" s="4">
        <f>QCOM[[#This Row],[Close]]</f>
        <v>55.009998000000003</v>
      </c>
    </row>
    <row r="17" spans="1:6" x14ac:dyDescent="0.25">
      <c r="A17" s="8">
        <v>43202</v>
      </c>
      <c r="B17" s="4">
        <f>AAPL[[#This Row],[Close]]</f>
        <v>174.13999899999999</v>
      </c>
      <c r="C17" s="4">
        <f>AMD[[#This Row],[Close]]</f>
        <v>10.08</v>
      </c>
      <c r="D17" s="4">
        <f>INTC[[#This Row],[Close]]</f>
        <v>52.720001000000003</v>
      </c>
      <c r="E17" s="4">
        <f>NVDA[[#This Row],[Close]]</f>
        <v>234.60000600000001</v>
      </c>
      <c r="F17" s="4">
        <f>QCOM[[#This Row],[Close]]</f>
        <v>55.200001</v>
      </c>
    </row>
    <row r="18" spans="1:6" x14ac:dyDescent="0.25">
      <c r="A18" s="8">
        <v>43203</v>
      </c>
      <c r="B18" s="4">
        <f>AAPL[[#This Row],[Close]]</f>
        <v>174.729996</v>
      </c>
      <c r="C18" s="4">
        <f>AMD[[#This Row],[Close]]</f>
        <v>9.93</v>
      </c>
      <c r="D18" s="4">
        <f>INTC[[#This Row],[Close]]</f>
        <v>51.860000999999997</v>
      </c>
      <c r="E18" s="4">
        <f>NVDA[[#This Row],[Close]]</f>
        <v>231.5</v>
      </c>
      <c r="F18" s="4">
        <f>QCOM[[#This Row],[Close]]</f>
        <v>55.73</v>
      </c>
    </row>
    <row r="19" spans="1:6" x14ac:dyDescent="0.25">
      <c r="A19" s="8">
        <v>43206</v>
      </c>
      <c r="B19" s="4">
        <f>AAPL[[#This Row],[Close]]</f>
        <v>175.820007</v>
      </c>
      <c r="C19" s="4">
        <f>AMD[[#This Row],[Close]]</f>
        <v>10.09</v>
      </c>
      <c r="D19" s="4">
        <f>INTC[[#This Row],[Close]]</f>
        <v>52.400002000000001</v>
      </c>
      <c r="E19" s="4">
        <f>NVDA[[#This Row],[Close]]</f>
        <v>231.490005</v>
      </c>
      <c r="F19" s="4">
        <f>QCOM[[#This Row],[Close]]</f>
        <v>54.77</v>
      </c>
    </row>
    <row r="20" spans="1:6" x14ac:dyDescent="0.25">
      <c r="A20" s="8">
        <v>43207</v>
      </c>
      <c r="B20" s="4">
        <f>AAPL[[#This Row],[Close]]</f>
        <v>178.240005</v>
      </c>
      <c r="C20" s="4">
        <f>AMD[[#This Row],[Close]]</f>
        <v>10.52</v>
      </c>
      <c r="D20" s="4">
        <f>INTC[[#This Row],[Close]]</f>
        <v>53.540000999999997</v>
      </c>
      <c r="E20" s="4">
        <f>NVDA[[#This Row],[Close]]</f>
        <v>237.53999300000001</v>
      </c>
      <c r="F20" s="4">
        <f>QCOM[[#This Row],[Close]]</f>
        <v>55.349997999999999</v>
      </c>
    </row>
    <row r="21" spans="1:6" x14ac:dyDescent="0.25">
      <c r="A21" s="8">
        <v>43208</v>
      </c>
      <c r="B21" s="4">
        <f>AAPL[[#This Row],[Close]]</f>
        <v>177.83999600000001</v>
      </c>
      <c r="C21" s="4">
        <f>AMD[[#This Row],[Close]]</f>
        <v>10.36</v>
      </c>
      <c r="D21" s="4">
        <f>INTC[[#This Row],[Close]]</f>
        <v>53.610000999999997</v>
      </c>
      <c r="E21" s="4">
        <f>NVDA[[#This Row],[Close]]</f>
        <v>236.36999499999999</v>
      </c>
      <c r="F21" s="4">
        <f>QCOM[[#This Row],[Close]]</f>
        <v>55.23</v>
      </c>
    </row>
    <row r="22" spans="1:6" x14ac:dyDescent="0.25">
      <c r="A22" s="8">
        <v>43209</v>
      </c>
      <c r="B22" s="4">
        <f>AAPL[[#This Row],[Close]]</f>
        <v>172.800003</v>
      </c>
      <c r="C22" s="4">
        <f>AMD[[#This Row],[Close]]</f>
        <v>10.11</v>
      </c>
      <c r="D22" s="4">
        <f>INTC[[#This Row],[Close]]</f>
        <v>52.220001000000003</v>
      </c>
      <c r="E22" s="4">
        <f>NVDA[[#This Row],[Close]]</f>
        <v>229.03999300000001</v>
      </c>
      <c r="F22" s="4">
        <f>QCOM[[#This Row],[Close]]</f>
        <v>52.57</v>
      </c>
    </row>
    <row r="23" spans="1:6" x14ac:dyDescent="0.25">
      <c r="A23" s="8">
        <v>43210</v>
      </c>
      <c r="B23" s="4">
        <f>AAPL[[#This Row],[Close]]</f>
        <v>165.720001</v>
      </c>
      <c r="C23" s="4">
        <f>AMD[[#This Row],[Close]]</f>
        <v>9.99</v>
      </c>
      <c r="D23" s="4">
        <f>INTC[[#This Row],[Close]]</f>
        <v>51.529998999999997</v>
      </c>
      <c r="E23" s="4">
        <f>NVDA[[#This Row],[Close]]</f>
        <v>228.71000699999999</v>
      </c>
      <c r="F23" s="4">
        <f>QCOM[[#This Row],[Close]]</f>
        <v>51.439999</v>
      </c>
    </row>
    <row r="24" spans="1:6" x14ac:dyDescent="0.25">
      <c r="A24" s="8">
        <v>43213</v>
      </c>
      <c r="B24" s="4">
        <f>AAPL[[#This Row],[Close]]</f>
        <v>165.240005</v>
      </c>
      <c r="C24" s="4">
        <f>AMD[[#This Row],[Close]]</f>
        <v>10.039999999999999</v>
      </c>
      <c r="D24" s="4">
        <f>INTC[[#This Row],[Close]]</f>
        <v>51.099997999999999</v>
      </c>
      <c r="E24" s="4">
        <f>NVDA[[#This Row],[Close]]</f>
        <v>223.88000500000001</v>
      </c>
      <c r="F24" s="4">
        <f>QCOM[[#This Row],[Close]]</f>
        <v>50.529998999999997</v>
      </c>
    </row>
    <row r="25" spans="1:6" x14ac:dyDescent="0.25">
      <c r="A25" s="8">
        <v>43214</v>
      </c>
      <c r="B25" s="4">
        <f>AAPL[[#This Row],[Close]]</f>
        <v>162.94000199999999</v>
      </c>
      <c r="C25" s="4">
        <f>AMD[[#This Row],[Close]]</f>
        <v>10.09</v>
      </c>
      <c r="D25" s="4">
        <f>INTC[[#This Row],[Close]]</f>
        <v>51.450001</v>
      </c>
      <c r="E25" s="4">
        <f>NVDA[[#This Row],[Close]]</f>
        <v>221.199997</v>
      </c>
      <c r="F25" s="4">
        <f>QCOM[[#This Row],[Close]]</f>
        <v>49.939999</v>
      </c>
    </row>
    <row r="26" spans="1:6" x14ac:dyDescent="0.25">
      <c r="A26" s="8">
        <v>43215</v>
      </c>
      <c r="B26" s="4">
        <f>AAPL[[#This Row],[Close]]</f>
        <v>163.64999399999999</v>
      </c>
      <c r="C26" s="4">
        <f>AMD[[#This Row],[Close]]</f>
        <v>9.7100000000000009</v>
      </c>
      <c r="D26" s="4">
        <f>INTC[[#This Row],[Close]]</f>
        <v>51.380001</v>
      </c>
      <c r="E26" s="4">
        <f>NVDA[[#This Row],[Close]]</f>
        <v>216.66000399999999</v>
      </c>
      <c r="F26" s="4">
        <f>QCOM[[#This Row],[Close]]</f>
        <v>49.75</v>
      </c>
    </row>
    <row r="27" spans="1:6" x14ac:dyDescent="0.25">
      <c r="A27" s="8">
        <v>43216</v>
      </c>
      <c r="B27" s="4">
        <f>AAPL[[#This Row],[Close]]</f>
        <v>164.220001</v>
      </c>
      <c r="C27" s="4">
        <f>AMD[[#This Row],[Close]]</f>
        <v>11.04</v>
      </c>
      <c r="D27" s="4">
        <f>INTC[[#This Row],[Close]]</f>
        <v>53.049999</v>
      </c>
      <c r="E27" s="4">
        <f>NVDA[[#This Row],[Close]]</f>
        <v>225.220001</v>
      </c>
      <c r="F27" s="4">
        <f>QCOM[[#This Row],[Close]]</f>
        <v>50.470001000000003</v>
      </c>
    </row>
    <row r="28" spans="1:6" x14ac:dyDescent="0.25">
      <c r="A28" s="8">
        <v>43217</v>
      </c>
      <c r="B28" s="4">
        <f>AAPL[[#This Row],[Close]]</f>
        <v>162.320007</v>
      </c>
      <c r="C28" s="4">
        <f>AMD[[#This Row],[Close]]</f>
        <v>11.11</v>
      </c>
      <c r="D28" s="4">
        <f>INTC[[#This Row],[Close]]</f>
        <v>52.73</v>
      </c>
      <c r="E28" s="4">
        <f>NVDA[[#This Row],[Close]]</f>
        <v>226.33000200000001</v>
      </c>
      <c r="F28" s="4">
        <f>QCOM[[#This Row],[Close]]</f>
        <v>51.110000999999997</v>
      </c>
    </row>
    <row r="29" spans="1:6" x14ac:dyDescent="0.25">
      <c r="A29" s="8">
        <v>43220</v>
      </c>
      <c r="B29" s="4">
        <f>AAPL[[#This Row],[Close]]</f>
        <v>165.259995</v>
      </c>
      <c r="C29" s="4">
        <f>AMD[[#This Row],[Close]]</f>
        <v>10.88</v>
      </c>
      <c r="D29" s="4">
        <f>INTC[[#This Row],[Close]]</f>
        <v>51.619999</v>
      </c>
      <c r="E29" s="4">
        <f>NVDA[[#This Row],[Close]]</f>
        <v>224.89999399999999</v>
      </c>
      <c r="F29" s="4">
        <f>QCOM[[#This Row],[Close]]</f>
        <v>51.009998000000003</v>
      </c>
    </row>
    <row r="30" spans="1:6" x14ac:dyDescent="0.25">
      <c r="A30" s="8">
        <v>43221</v>
      </c>
      <c r="B30" s="4">
        <f>AAPL[[#This Row],[Close]]</f>
        <v>169.10000600000001</v>
      </c>
      <c r="C30" s="4">
        <f>AMD[[#This Row],[Close]]</f>
        <v>11.13</v>
      </c>
      <c r="D30" s="4">
        <f>INTC[[#This Row],[Close]]</f>
        <v>53.330002</v>
      </c>
      <c r="E30" s="4">
        <f>NVDA[[#This Row],[Close]]</f>
        <v>227.13999899999999</v>
      </c>
      <c r="F30" s="4">
        <f>QCOM[[#This Row],[Close]]</f>
        <v>50.82</v>
      </c>
    </row>
    <row r="31" spans="1:6" x14ac:dyDescent="0.25">
      <c r="A31" s="8">
        <v>43222</v>
      </c>
      <c r="B31" s="4">
        <f>AAPL[[#This Row],[Close]]</f>
        <v>176.570007</v>
      </c>
      <c r="C31" s="4">
        <f>AMD[[#This Row],[Close]]</f>
        <v>10.97</v>
      </c>
      <c r="D31" s="4">
        <f>INTC[[#This Row],[Close]]</f>
        <v>52.310001</v>
      </c>
      <c r="E31" s="4">
        <f>NVDA[[#This Row],[Close]]</f>
        <v>226.30999800000001</v>
      </c>
      <c r="F31" s="4">
        <f>QCOM[[#This Row],[Close]]</f>
        <v>50.259998000000003</v>
      </c>
    </row>
    <row r="32" spans="1:6" x14ac:dyDescent="0.25">
      <c r="A32" s="8">
        <v>43223</v>
      </c>
      <c r="B32" s="4">
        <f>AAPL[[#This Row],[Close]]</f>
        <v>176.88999899999999</v>
      </c>
      <c r="C32" s="4">
        <f>AMD[[#This Row],[Close]]</f>
        <v>10.93</v>
      </c>
      <c r="D32" s="4">
        <f>INTC[[#This Row],[Close]]</f>
        <v>52.279998999999997</v>
      </c>
      <c r="E32" s="4">
        <f>NVDA[[#This Row],[Close]]</f>
        <v>232.990005</v>
      </c>
      <c r="F32" s="4">
        <f>QCOM[[#This Row],[Close]]</f>
        <v>50.310001</v>
      </c>
    </row>
    <row r="33" spans="1:6" x14ac:dyDescent="0.25">
      <c r="A33" s="8">
        <v>43224</v>
      </c>
      <c r="B33" s="4">
        <f>AAPL[[#This Row],[Close]]</f>
        <v>183.83000200000001</v>
      </c>
      <c r="C33" s="4">
        <f>AMD[[#This Row],[Close]]</f>
        <v>11.28</v>
      </c>
      <c r="D33" s="4">
        <f>INTC[[#This Row],[Close]]</f>
        <v>52.779998999999997</v>
      </c>
      <c r="E33" s="4">
        <f>NVDA[[#This Row],[Close]]</f>
        <v>239.05999800000001</v>
      </c>
      <c r="F33" s="4">
        <f>QCOM[[#This Row],[Close]]</f>
        <v>52.490001999999997</v>
      </c>
    </row>
    <row r="34" spans="1:6" x14ac:dyDescent="0.25">
      <c r="A34" s="8">
        <v>43227</v>
      </c>
      <c r="B34" s="4">
        <f>AAPL[[#This Row],[Close]]</f>
        <v>185.16000399999999</v>
      </c>
      <c r="C34" s="4">
        <f>AMD[[#This Row],[Close]]</f>
        <v>11.59</v>
      </c>
      <c r="D34" s="4">
        <f>INTC[[#This Row],[Close]]</f>
        <v>53.330002</v>
      </c>
      <c r="E34" s="4">
        <f>NVDA[[#This Row],[Close]]</f>
        <v>248.679993</v>
      </c>
      <c r="F34" s="4">
        <f>QCOM[[#This Row],[Close]]</f>
        <v>53.009998000000003</v>
      </c>
    </row>
    <row r="35" spans="1:6" x14ac:dyDescent="0.25">
      <c r="A35" s="8">
        <v>43228</v>
      </c>
      <c r="B35" s="4">
        <f>AAPL[[#This Row],[Close]]</f>
        <v>186.050003</v>
      </c>
      <c r="C35" s="4">
        <f>AMD[[#This Row],[Close]]</f>
        <v>11.61</v>
      </c>
      <c r="D35" s="4">
        <f>INTC[[#This Row],[Close]]</f>
        <v>53.630001</v>
      </c>
      <c r="E35" s="4">
        <f>NVDA[[#This Row],[Close]]</f>
        <v>250.39999399999999</v>
      </c>
      <c r="F35" s="4">
        <f>QCOM[[#This Row],[Close]]</f>
        <v>52.860000999999997</v>
      </c>
    </row>
    <row r="36" spans="1:6" x14ac:dyDescent="0.25">
      <c r="A36" s="8">
        <v>43229</v>
      </c>
      <c r="B36" s="4">
        <f>AAPL[[#This Row],[Close]]</f>
        <v>187.36000100000001</v>
      </c>
      <c r="C36" s="4">
        <f>AMD[[#This Row],[Close]]</f>
        <v>11.95</v>
      </c>
      <c r="D36" s="4">
        <f>INTC[[#This Row],[Close]]</f>
        <v>54.34</v>
      </c>
      <c r="E36" s="4">
        <f>NVDA[[#This Row],[Close]]</f>
        <v>255.779999</v>
      </c>
      <c r="F36" s="4">
        <f>QCOM[[#This Row],[Close]]</f>
        <v>53.169998</v>
      </c>
    </row>
    <row r="37" spans="1:6" x14ac:dyDescent="0.25">
      <c r="A37" s="8">
        <v>43230</v>
      </c>
      <c r="B37" s="4">
        <f>AAPL[[#This Row],[Close]]</f>
        <v>190.03999300000001</v>
      </c>
      <c r="C37" s="4">
        <f>AMD[[#This Row],[Close]]</f>
        <v>12.13</v>
      </c>
      <c r="D37" s="4">
        <f>INTC[[#This Row],[Close]]</f>
        <v>54.98</v>
      </c>
      <c r="E37" s="4">
        <f>NVDA[[#This Row],[Close]]</f>
        <v>260.13000499999998</v>
      </c>
      <c r="F37" s="4">
        <f>QCOM[[#This Row],[Close]]</f>
        <v>54.970001000000003</v>
      </c>
    </row>
    <row r="38" spans="1:6" x14ac:dyDescent="0.25">
      <c r="A38" s="8">
        <v>43231</v>
      </c>
      <c r="B38" s="4">
        <f>AAPL[[#This Row],[Close]]</f>
        <v>188.58999600000001</v>
      </c>
      <c r="C38" s="4">
        <f>AMD[[#This Row],[Close]]</f>
        <v>11.95</v>
      </c>
      <c r="D38" s="4">
        <f>INTC[[#This Row],[Close]]</f>
        <v>54.669998</v>
      </c>
      <c r="E38" s="4">
        <f>NVDA[[#This Row],[Close]]</f>
        <v>254.529999</v>
      </c>
      <c r="F38" s="4">
        <f>QCOM[[#This Row],[Close]]</f>
        <v>55.23</v>
      </c>
    </row>
    <row r="39" spans="1:6" x14ac:dyDescent="0.25">
      <c r="A39" s="8">
        <v>43234</v>
      </c>
      <c r="B39" s="4">
        <f>AAPL[[#This Row],[Close]]</f>
        <v>188.14999399999999</v>
      </c>
      <c r="C39" s="4">
        <f>AMD[[#This Row],[Close]]</f>
        <v>12.23</v>
      </c>
      <c r="D39" s="4">
        <f>INTC[[#This Row],[Close]]</f>
        <v>54.900002000000001</v>
      </c>
      <c r="E39" s="4">
        <f>NVDA[[#This Row],[Close]]</f>
        <v>255.36000100000001</v>
      </c>
      <c r="F39" s="4">
        <f>QCOM[[#This Row],[Close]]</f>
        <v>56.740001999999997</v>
      </c>
    </row>
    <row r="40" spans="1:6" x14ac:dyDescent="0.25">
      <c r="A40" s="8">
        <v>43235</v>
      </c>
      <c r="B40" s="4">
        <f>AAPL[[#This Row],[Close]]</f>
        <v>186.44000199999999</v>
      </c>
      <c r="C40" s="4">
        <f>AMD[[#This Row],[Close]]</f>
        <v>12.45</v>
      </c>
      <c r="D40" s="4">
        <f>INTC[[#This Row],[Close]]</f>
        <v>53.919998</v>
      </c>
      <c r="E40" s="4">
        <f>NVDA[[#This Row],[Close]]</f>
        <v>245.55999800000001</v>
      </c>
      <c r="F40" s="4">
        <f>QCOM[[#This Row],[Close]]</f>
        <v>55.639999000000003</v>
      </c>
    </row>
    <row r="41" spans="1:6" x14ac:dyDescent="0.25">
      <c r="A41" s="8">
        <v>43236</v>
      </c>
      <c r="B41" s="4">
        <f>AAPL[[#This Row],[Close]]</f>
        <v>188.179993</v>
      </c>
      <c r="C41" s="4">
        <f>AMD[[#This Row],[Close]]</f>
        <v>12.82</v>
      </c>
      <c r="D41" s="4">
        <f>INTC[[#This Row],[Close]]</f>
        <v>54.639999000000003</v>
      </c>
      <c r="E41" s="4">
        <f>NVDA[[#This Row],[Close]]</f>
        <v>246.009995</v>
      </c>
      <c r="F41" s="4">
        <f>QCOM[[#This Row],[Close]]</f>
        <v>56.700001</v>
      </c>
    </row>
    <row r="42" spans="1:6" x14ac:dyDescent="0.25">
      <c r="A42" s="8">
        <v>43237</v>
      </c>
      <c r="B42" s="4">
        <f>AAPL[[#This Row],[Close]]</f>
        <v>186.990005</v>
      </c>
      <c r="C42" s="4">
        <f>AMD[[#This Row],[Close]]</f>
        <v>12.82</v>
      </c>
      <c r="D42" s="4">
        <f>INTC[[#This Row],[Close]]</f>
        <v>54.810001</v>
      </c>
      <c r="E42" s="4">
        <f>NVDA[[#This Row],[Close]]</f>
        <v>247.71000699999999</v>
      </c>
      <c r="F42" s="4">
        <f>QCOM[[#This Row],[Close]]</f>
        <v>56.950001</v>
      </c>
    </row>
    <row r="43" spans="1:6" x14ac:dyDescent="0.25">
      <c r="A43" s="8">
        <v>43238</v>
      </c>
      <c r="B43" s="4">
        <f>AAPL[[#This Row],[Close]]</f>
        <v>186.30999800000001</v>
      </c>
      <c r="C43" s="4">
        <f>AMD[[#This Row],[Close]]</f>
        <v>13</v>
      </c>
      <c r="D43" s="4">
        <f>INTC[[#This Row],[Close]]</f>
        <v>53.5</v>
      </c>
      <c r="E43" s="4">
        <f>NVDA[[#This Row],[Close]]</f>
        <v>245.94000199999999</v>
      </c>
      <c r="F43" s="4">
        <f>QCOM[[#This Row],[Close]]</f>
        <v>57.509998000000003</v>
      </c>
    </row>
    <row r="44" spans="1:6" x14ac:dyDescent="0.25">
      <c r="A44" s="8">
        <v>43241</v>
      </c>
      <c r="B44" s="4">
        <f>AAPL[[#This Row],[Close]]</f>
        <v>187.63000500000001</v>
      </c>
      <c r="C44" s="4">
        <f>AMD[[#This Row],[Close]]</f>
        <v>12.99</v>
      </c>
      <c r="D44" s="4">
        <f>INTC[[#This Row],[Close]]</f>
        <v>54.32</v>
      </c>
      <c r="E44" s="4">
        <f>NVDA[[#This Row],[Close]]</f>
        <v>244.240005</v>
      </c>
      <c r="F44" s="4">
        <f>QCOM[[#This Row],[Close]]</f>
        <v>57.709999000000003</v>
      </c>
    </row>
    <row r="45" spans="1:6" x14ac:dyDescent="0.25">
      <c r="A45" s="8">
        <v>43242</v>
      </c>
      <c r="B45" s="4">
        <f>AAPL[[#This Row],[Close]]</f>
        <v>187.16000399999999</v>
      </c>
      <c r="C45" s="4">
        <f>AMD[[#This Row],[Close]]</f>
        <v>12.98</v>
      </c>
      <c r="D45" s="4">
        <f>INTC[[#This Row],[Close]]</f>
        <v>54.450001</v>
      </c>
      <c r="E45" s="4">
        <f>NVDA[[#This Row],[Close]]</f>
        <v>242.699997</v>
      </c>
      <c r="F45" s="4">
        <f>QCOM[[#This Row],[Close]]</f>
        <v>57.389999000000003</v>
      </c>
    </row>
    <row r="46" spans="1:6" x14ac:dyDescent="0.25">
      <c r="A46" s="8">
        <v>43243</v>
      </c>
      <c r="B46" s="4">
        <f>AAPL[[#This Row],[Close]]</f>
        <v>188.36000100000001</v>
      </c>
      <c r="C46" s="4">
        <f>AMD[[#This Row],[Close]]</f>
        <v>13.1</v>
      </c>
      <c r="D46" s="4">
        <f>INTC[[#This Row],[Close]]</f>
        <v>55.209999000000003</v>
      </c>
      <c r="E46" s="4">
        <f>NVDA[[#This Row],[Close]]</f>
        <v>247.53999300000001</v>
      </c>
      <c r="F46" s="4">
        <f>QCOM[[#This Row],[Close]]</f>
        <v>58.82</v>
      </c>
    </row>
    <row r="47" spans="1:6" x14ac:dyDescent="0.25">
      <c r="A47" s="8">
        <v>43244</v>
      </c>
      <c r="B47" s="4">
        <f>AAPL[[#This Row],[Close]]</f>
        <v>188.14999399999999</v>
      </c>
      <c r="C47" s="4">
        <f>AMD[[#This Row],[Close]]</f>
        <v>13.41</v>
      </c>
      <c r="D47" s="4">
        <f>INTC[[#This Row],[Close]]</f>
        <v>54.75</v>
      </c>
      <c r="E47" s="4">
        <f>NVDA[[#This Row],[Close]]</f>
        <v>247.69000199999999</v>
      </c>
      <c r="F47" s="4">
        <f>QCOM[[#This Row],[Close]]</f>
        <v>59.080002</v>
      </c>
    </row>
    <row r="48" spans="1:6" x14ac:dyDescent="0.25">
      <c r="A48" s="8">
        <v>43245</v>
      </c>
      <c r="B48" s="4">
        <f>AAPL[[#This Row],[Close]]</f>
        <v>188.58000200000001</v>
      </c>
      <c r="C48" s="4">
        <f>AMD[[#This Row],[Close]]</f>
        <v>13.54</v>
      </c>
      <c r="D48" s="4">
        <f>INTC[[#This Row],[Close]]</f>
        <v>55.439999</v>
      </c>
      <c r="E48" s="4">
        <f>NVDA[[#This Row],[Close]]</f>
        <v>249.279999</v>
      </c>
      <c r="F48" s="4">
        <f>QCOM[[#This Row],[Close]]</f>
        <v>59.959999000000003</v>
      </c>
    </row>
    <row r="49" spans="1:6" x14ac:dyDescent="0.25">
      <c r="A49" s="8">
        <v>43249</v>
      </c>
      <c r="B49" s="4">
        <f>AAPL[[#This Row],[Close]]</f>
        <v>187.89999399999999</v>
      </c>
      <c r="C49" s="4">
        <f>AMD[[#This Row],[Close]]</f>
        <v>13.36</v>
      </c>
      <c r="D49" s="4">
        <f>INTC[[#This Row],[Close]]</f>
        <v>55.32</v>
      </c>
      <c r="E49" s="4">
        <f>NVDA[[#This Row],[Close]]</f>
        <v>248.58999600000001</v>
      </c>
      <c r="F49" s="4">
        <f>QCOM[[#This Row],[Close]]</f>
        <v>58.23</v>
      </c>
    </row>
    <row r="50" spans="1:6" x14ac:dyDescent="0.25">
      <c r="A50" s="8">
        <v>43250</v>
      </c>
      <c r="B50" s="4">
        <f>AAPL[[#This Row],[Close]]</f>
        <v>187.5</v>
      </c>
      <c r="C50" s="4">
        <f>AMD[[#This Row],[Close]]</f>
        <v>13.82</v>
      </c>
      <c r="D50" s="4">
        <f>INTC[[#This Row],[Close]]</f>
        <v>55.68</v>
      </c>
      <c r="E50" s="4">
        <f>NVDA[[#This Row],[Close]]</f>
        <v>252.990005</v>
      </c>
      <c r="F50" s="4">
        <f>QCOM[[#This Row],[Close]]</f>
        <v>58.389999000000003</v>
      </c>
    </row>
    <row r="51" spans="1:6" x14ac:dyDescent="0.25">
      <c r="A51" s="8">
        <v>43251</v>
      </c>
      <c r="B51" s="4">
        <f>AAPL[[#This Row],[Close]]</f>
        <v>186.86999499999999</v>
      </c>
      <c r="C51" s="4">
        <f>AMD[[#This Row],[Close]]</f>
        <v>13.73</v>
      </c>
      <c r="D51" s="4">
        <f>INTC[[#This Row],[Close]]</f>
        <v>55.200001</v>
      </c>
      <c r="E51" s="4">
        <f>NVDA[[#This Row],[Close]]</f>
        <v>252.19000199999999</v>
      </c>
      <c r="F51" s="4">
        <f>QCOM[[#This Row],[Close]]</f>
        <v>58.119999</v>
      </c>
    </row>
    <row r="52" spans="1:6" x14ac:dyDescent="0.25">
      <c r="A52" s="8">
        <v>43252</v>
      </c>
      <c r="B52" s="4">
        <f>AAPL[[#This Row],[Close]]</f>
        <v>190.240005</v>
      </c>
      <c r="C52" s="4">
        <f>AMD[[#This Row],[Close]]</f>
        <v>14.4</v>
      </c>
      <c r="D52" s="4">
        <f>INTC[[#This Row],[Close]]</f>
        <v>57.080002</v>
      </c>
      <c r="E52" s="4">
        <f>NVDA[[#This Row],[Close]]</f>
        <v>257.61999500000002</v>
      </c>
      <c r="F52" s="4">
        <f>QCOM[[#This Row],[Close]]</f>
        <v>58.610000999999997</v>
      </c>
    </row>
    <row r="53" spans="1:6" x14ac:dyDescent="0.25">
      <c r="A53" s="8">
        <v>43255</v>
      </c>
      <c r="B53" s="4">
        <f>AAPL[[#This Row],[Close]]</f>
        <v>191.83000200000001</v>
      </c>
      <c r="C53" s="4">
        <f>AMD[[#This Row],[Close]]</f>
        <v>14.85</v>
      </c>
      <c r="D53" s="4">
        <f>INTC[[#This Row],[Close]]</f>
        <v>56.830002</v>
      </c>
      <c r="E53" s="4">
        <f>NVDA[[#This Row],[Close]]</f>
        <v>264.85000600000001</v>
      </c>
      <c r="F53" s="4">
        <f>QCOM[[#This Row],[Close]]</f>
        <v>58.709999000000003</v>
      </c>
    </row>
    <row r="54" spans="1:6" x14ac:dyDescent="0.25">
      <c r="A54" s="8">
        <v>43256</v>
      </c>
      <c r="B54" s="4">
        <f>AAPL[[#This Row],[Close]]</f>
        <v>193.30999800000001</v>
      </c>
      <c r="C54" s="4">
        <f>AMD[[#This Row],[Close]]</f>
        <v>14.85</v>
      </c>
      <c r="D54" s="4">
        <f>INTC[[#This Row],[Close]]</f>
        <v>56.529998999999997</v>
      </c>
      <c r="E54" s="4">
        <f>NVDA[[#This Row],[Close]]</f>
        <v>265.07000699999998</v>
      </c>
      <c r="F54" s="4">
        <f>QCOM[[#This Row],[Close]]</f>
        <v>58.98</v>
      </c>
    </row>
    <row r="55" spans="1:6" x14ac:dyDescent="0.25">
      <c r="A55" s="8">
        <v>43257</v>
      </c>
      <c r="B55" s="4">
        <f>AAPL[[#This Row],[Close]]</f>
        <v>193.979996</v>
      </c>
      <c r="C55" s="4">
        <f>AMD[[#This Row],[Close]]</f>
        <v>15.67</v>
      </c>
      <c r="D55" s="4">
        <f>INTC[[#This Row],[Close]]</f>
        <v>57.029998999999997</v>
      </c>
      <c r="E55" s="4">
        <f>NVDA[[#This Row],[Close]]</f>
        <v>265.14999399999999</v>
      </c>
      <c r="F55" s="4">
        <f>QCOM[[#This Row],[Close]]</f>
        <v>59.84</v>
      </c>
    </row>
    <row r="56" spans="1:6" x14ac:dyDescent="0.25">
      <c r="A56" s="8">
        <v>43258</v>
      </c>
      <c r="B56" s="4">
        <f>AAPL[[#This Row],[Close]]</f>
        <v>193.46000699999999</v>
      </c>
      <c r="C56" s="4">
        <f>AMD[[#This Row],[Close]]</f>
        <v>14.89</v>
      </c>
      <c r="D56" s="4">
        <f>INTC[[#This Row],[Close]]</f>
        <v>55.880001</v>
      </c>
      <c r="E56" s="4">
        <f>NVDA[[#This Row],[Close]]</f>
        <v>262.89999399999999</v>
      </c>
      <c r="F56" s="4">
        <f>QCOM[[#This Row],[Close]]</f>
        <v>60.639999000000003</v>
      </c>
    </row>
    <row r="57" spans="1:6" x14ac:dyDescent="0.25">
      <c r="A57" s="8">
        <v>43259</v>
      </c>
      <c r="B57" s="4">
        <f>AAPL[[#This Row],[Close]]</f>
        <v>191.699997</v>
      </c>
      <c r="C57" s="4">
        <f>AMD[[#This Row],[Close]]</f>
        <v>15.25</v>
      </c>
      <c r="D57" s="4">
        <f>INTC[[#This Row],[Close]]</f>
        <v>55.049999</v>
      </c>
      <c r="E57" s="4">
        <f>NVDA[[#This Row],[Close]]</f>
        <v>262.27999899999998</v>
      </c>
      <c r="F57" s="4">
        <f>QCOM[[#This Row],[Close]]</f>
        <v>60.259998000000003</v>
      </c>
    </row>
    <row r="58" spans="1:6" x14ac:dyDescent="0.25">
      <c r="A58" s="8">
        <v>43262</v>
      </c>
      <c r="B58" s="4">
        <f>AAPL[[#This Row],[Close]]</f>
        <v>191.229996</v>
      </c>
      <c r="C58" s="4">
        <f>AMD[[#This Row],[Close]]</f>
        <v>15.73</v>
      </c>
      <c r="D58" s="4">
        <f>INTC[[#This Row],[Close]]</f>
        <v>54.52</v>
      </c>
      <c r="E58" s="4">
        <f>NVDA[[#This Row],[Close]]</f>
        <v>260.61999500000002</v>
      </c>
      <c r="F58" s="4">
        <f>QCOM[[#This Row],[Close]]</f>
        <v>59.93</v>
      </c>
    </row>
    <row r="59" spans="1:6" x14ac:dyDescent="0.25">
      <c r="A59" s="8">
        <v>43263</v>
      </c>
      <c r="B59" s="4">
        <f>AAPL[[#This Row],[Close]]</f>
        <v>192.279999</v>
      </c>
      <c r="C59" s="4">
        <f>AMD[[#This Row],[Close]]</f>
        <v>15.85</v>
      </c>
      <c r="D59" s="4">
        <f>INTC[[#This Row],[Close]]</f>
        <v>54.82</v>
      </c>
      <c r="E59" s="4">
        <f>NVDA[[#This Row],[Close]]</f>
        <v>262.57998700000002</v>
      </c>
      <c r="F59" s="4">
        <f>QCOM[[#This Row],[Close]]</f>
        <v>59.790000999999997</v>
      </c>
    </row>
    <row r="60" spans="1:6" x14ac:dyDescent="0.25">
      <c r="A60" s="8">
        <v>43264</v>
      </c>
      <c r="B60" s="4">
        <f>AAPL[[#This Row],[Close]]</f>
        <v>190.699997</v>
      </c>
      <c r="C60" s="4">
        <f>AMD[[#This Row],[Close]]</f>
        <v>16.32</v>
      </c>
      <c r="D60" s="4">
        <f>INTC[[#This Row],[Close]]</f>
        <v>55.029998999999997</v>
      </c>
      <c r="E60" s="4">
        <f>NVDA[[#This Row],[Close]]</f>
        <v>262.39999399999999</v>
      </c>
      <c r="F60" s="4">
        <f>QCOM[[#This Row],[Close]]</f>
        <v>59.220001000000003</v>
      </c>
    </row>
    <row r="61" spans="1:6" x14ac:dyDescent="0.25">
      <c r="A61" s="8">
        <v>43265</v>
      </c>
      <c r="B61" s="4">
        <f>AAPL[[#This Row],[Close]]</f>
        <v>190.800003</v>
      </c>
      <c r="C61" s="4">
        <f>AMD[[#This Row],[Close]]</f>
        <v>16.25</v>
      </c>
      <c r="D61" s="4">
        <f>INTC[[#This Row],[Close]]</f>
        <v>55.540000999999997</v>
      </c>
      <c r="E61" s="4">
        <f>NVDA[[#This Row],[Close]]</f>
        <v>266.91000400000001</v>
      </c>
      <c r="F61" s="4">
        <f>QCOM[[#This Row],[Close]]</f>
        <v>59.459999000000003</v>
      </c>
    </row>
    <row r="62" spans="1:6" x14ac:dyDescent="0.25">
      <c r="A62" s="8">
        <v>43266</v>
      </c>
      <c r="B62" s="4">
        <f>AAPL[[#This Row],[Close]]</f>
        <v>188.83999600000001</v>
      </c>
      <c r="C62" s="4">
        <f>AMD[[#This Row],[Close]]</f>
        <v>16.34</v>
      </c>
      <c r="D62" s="4">
        <f>INTC[[#This Row],[Close]]</f>
        <v>55.110000999999997</v>
      </c>
      <c r="E62" s="4">
        <f>NVDA[[#This Row],[Close]]</f>
        <v>265.26001000000002</v>
      </c>
      <c r="F62" s="4">
        <f>QCOM[[#This Row],[Close]]</f>
        <v>59.860000999999997</v>
      </c>
    </row>
    <row r="63" spans="1:6" x14ac:dyDescent="0.25">
      <c r="A63" s="8">
        <v>43269</v>
      </c>
      <c r="B63" s="4">
        <f>AAPL[[#This Row],[Close]]</f>
        <v>188.740005</v>
      </c>
      <c r="C63" s="4">
        <f>AMD[[#This Row],[Close]]</f>
        <v>17.110001</v>
      </c>
      <c r="D63" s="4">
        <f>INTC[[#This Row],[Close]]</f>
        <v>53.220001000000003</v>
      </c>
      <c r="E63" s="4">
        <f>NVDA[[#This Row],[Close]]</f>
        <v>265.08999599999999</v>
      </c>
      <c r="F63" s="4">
        <f>QCOM[[#This Row],[Close]]</f>
        <v>59.200001</v>
      </c>
    </row>
    <row r="64" spans="1:6" x14ac:dyDescent="0.25">
      <c r="A64" s="8">
        <v>43270</v>
      </c>
      <c r="B64" s="4">
        <f>AAPL[[#This Row],[Close]]</f>
        <v>185.69000199999999</v>
      </c>
      <c r="C64" s="4">
        <f>AMD[[#This Row],[Close]]</f>
        <v>16.690000999999999</v>
      </c>
      <c r="D64" s="4">
        <f>INTC[[#This Row],[Close]]</f>
        <v>52.93</v>
      </c>
      <c r="E64" s="4">
        <f>NVDA[[#This Row],[Close]]</f>
        <v>260.17001299999998</v>
      </c>
      <c r="F64" s="4">
        <f>QCOM[[#This Row],[Close]]</f>
        <v>58.700001</v>
      </c>
    </row>
    <row r="65" spans="1:6" x14ac:dyDescent="0.25">
      <c r="A65" s="8">
        <v>43271</v>
      </c>
      <c r="B65" s="4">
        <f>AAPL[[#This Row],[Close]]</f>
        <v>186.5</v>
      </c>
      <c r="C65" s="4">
        <f>AMD[[#This Row],[Close]]</f>
        <v>16.52</v>
      </c>
      <c r="D65" s="4">
        <f>INTC[[#This Row],[Close]]</f>
        <v>53.459999000000003</v>
      </c>
      <c r="E65" s="4">
        <f>NVDA[[#This Row],[Close]]</f>
        <v>262.30999800000001</v>
      </c>
      <c r="F65" s="4">
        <f>QCOM[[#This Row],[Close]]</f>
        <v>58.790000999999997</v>
      </c>
    </row>
    <row r="66" spans="1:6" x14ac:dyDescent="0.25">
      <c r="A66" s="8">
        <v>43272</v>
      </c>
      <c r="B66" s="4">
        <f>AAPL[[#This Row],[Close]]</f>
        <v>185.46000699999999</v>
      </c>
      <c r="C66" s="4">
        <f>AMD[[#This Row],[Close]]</f>
        <v>15.65</v>
      </c>
      <c r="D66" s="4">
        <f>INTC[[#This Row],[Close]]</f>
        <v>52.189999</v>
      </c>
      <c r="E66" s="4">
        <f>NVDA[[#This Row],[Close]]</f>
        <v>257.10998499999999</v>
      </c>
      <c r="F66" s="4">
        <f>QCOM[[#This Row],[Close]]</f>
        <v>58.75</v>
      </c>
    </row>
    <row r="67" spans="1:6" x14ac:dyDescent="0.25">
      <c r="A67" s="8">
        <v>43273</v>
      </c>
      <c r="B67" s="4">
        <f>AAPL[[#This Row],[Close]]</f>
        <v>184.91999799999999</v>
      </c>
      <c r="C67" s="4">
        <f>AMD[[#This Row],[Close]]</f>
        <v>15.8</v>
      </c>
      <c r="D67" s="4">
        <f>INTC[[#This Row],[Close]]</f>
        <v>52.5</v>
      </c>
      <c r="E67" s="4">
        <f>NVDA[[#This Row],[Close]]</f>
        <v>250.949997</v>
      </c>
      <c r="F67" s="4">
        <f>QCOM[[#This Row],[Close]]</f>
        <v>58.5</v>
      </c>
    </row>
    <row r="68" spans="1:6" x14ac:dyDescent="0.25">
      <c r="A68" s="8">
        <v>43276</v>
      </c>
      <c r="B68" s="4">
        <f>AAPL[[#This Row],[Close]]</f>
        <v>182.16999799999999</v>
      </c>
      <c r="C68" s="4">
        <f>AMD[[#This Row],[Close]]</f>
        <v>15.11</v>
      </c>
      <c r="D68" s="4">
        <f>INTC[[#This Row],[Close]]</f>
        <v>50.709999000000003</v>
      </c>
      <c r="E68" s="4">
        <f>NVDA[[#This Row],[Close]]</f>
        <v>239.11999499999999</v>
      </c>
      <c r="F68" s="4">
        <f>QCOM[[#This Row],[Close]]</f>
        <v>57.049999</v>
      </c>
    </row>
    <row r="69" spans="1:6" x14ac:dyDescent="0.25">
      <c r="A69" s="8">
        <v>43277</v>
      </c>
      <c r="B69" s="4">
        <f>AAPL[[#This Row],[Close]]</f>
        <v>184.429993</v>
      </c>
      <c r="C69" s="4">
        <f>AMD[[#This Row],[Close]]</f>
        <v>15.5</v>
      </c>
      <c r="D69" s="4">
        <f>INTC[[#This Row],[Close]]</f>
        <v>49.669998</v>
      </c>
      <c r="E69" s="4">
        <f>NVDA[[#This Row],[Close]]</f>
        <v>241.990005</v>
      </c>
      <c r="F69" s="4">
        <f>QCOM[[#This Row],[Close]]</f>
        <v>56.450001</v>
      </c>
    </row>
    <row r="70" spans="1:6" x14ac:dyDescent="0.25">
      <c r="A70" s="8">
        <v>43278</v>
      </c>
      <c r="B70" s="4">
        <f>AAPL[[#This Row],[Close]]</f>
        <v>184.16000399999999</v>
      </c>
      <c r="C70" s="4">
        <f>AMD[[#This Row],[Close]]</f>
        <v>14.97</v>
      </c>
      <c r="D70" s="4">
        <f>INTC[[#This Row],[Close]]</f>
        <v>48.759998000000003</v>
      </c>
      <c r="E70" s="4">
        <f>NVDA[[#This Row],[Close]]</f>
        <v>235.720001</v>
      </c>
      <c r="F70" s="4">
        <f>QCOM[[#This Row],[Close]]</f>
        <v>55.169998</v>
      </c>
    </row>
    <row r="71" spans="1:6" x14ac:dyDescent="0.25">
      <c r="A71" s="8">
        <v>43279</v>
      </c>
      <c r="B71" s="4">
        <f>AAPL[[#This Row],[Close]]</f>
        <v>185.5</v>
      </c>
      <c r="C71" s="4">
        <f>AMD[[#This Row],[Close]]</f>
        <v>15.31</v>
      </c>
      <c r="D71" s="4">
        <f>INTC[[#This Row],[Close]]</f>
        <v>49.25</v>
      </c>
      <c r="E71" s="4">
        <f>NVDA[[#This Row],[Close]]</f>
        <v>240.86000100000001</v>
      </c>
      <c r="F71" s="4">
        <f>QCOM[[#This Row],[Close]]</f>
        <v>55.900002000000001</v>
      </c>
    </row>
    <row r="72" spans="1:6" x14ac:dyDescent="0.25">
      <c r="A72" s="8">
        <v>43280</v>
      </c>
      <c r="B72" s="4">
        <f>AAPL[[#This Row],[Close]]</f>
        <v>185.11000100000001</v>
      </c>
      <c r="C72" s="4">
        <f>AMD[[#This Row],[Close]]</f>
        <v>14.99</v>
      </c>
      <c r="D72" s="4">
        <f>INTC[[#This Row],[Close]]</f>
        <v>49.709999000000003</v>
      </c>
      <c r="E72" s="4">
        <f>NVDA[[#This Row],[Close]]</f>
        <v>236.89999399999999</v>
      </c>
      <c r="F72" s="4">
        <f>QCOM[[#This Row],[Close]]</f>
        <v>56.119999</v>
      </c>
    </row>
    <row r="73" spans="1:6" x14ac:dyDescent="0.25">
      <c r="A73" s="8">
        <v>43283</v>
      </c>
      <c r="B73" s="4">
        <f>AAPL[[#This Row],[Close]]</f>
        <v>187.179993</v>
      </c>
      <c r="C73" s="4">
        <f>AMD[[#This Row],[Close]]</f>
        <v>15.16</v>
      </c>
      <c r="D73" s="4">
        <f>INTC[[#This Row],[Close]]</f>
        <v>50.200001</v>
      </c>
      <c r="E73" s="4">
        <f>NVDA[[#This Row],[Close]]</f>
        <v>242.240005</v>
      </c>
      <c r="F73" s="4">
        <f>QCOM[[#This Row],[Close]]</f>
        <v>56.18</v>
      </c>
    </row>
    <row r="74" spans="1:6" x14ac:dyDescent="0.25">
      <c r="A74" s="8">
        <v>43284</v>
      </c>
      <c r="B74" s="4">
        <f>AAPL[[#This Row],[Close]]</f>
        <v>183.91999799999999</v>
      </c>
      <c r="C74" s="4">
        <f>AMD[[#This Row],[Close]]</f>
        <v>15</v>
      </c>
      <c r="D74" s="4">
        <f>INTC[[#This Row],[Close]]</f>
        <v>49.470001000000003</v>
      </c>
      <c r="E74" s="4">
        <f>NVDA[[#This Row],[Close]]</f>
        <v>236.83999600000001</v>
      </c>
      <c r="F74" s="4">
        <f>QCOM[[#This Row],[Close]]</f>
        <v>55.330002</v>
      </c>
    </row>
    <row r="75" spans="1:6" x14ac:dyDescent="0.25">
      <c r="A75" s="8">
        <v>43286</v>
      </c>
      <c r="B75" s="4">
        <f>AAPL[[#This Row],[Close]]</f>
        <v>185.39999399999999</v>
      </c>
      <c r="C75" s="4">
        <f>AMD[[#This Row],[Close]]</f>
        <v>15.5</v>
      </c>
      <c r="D75" s="4">
        <f>INTC[[#This Row],[Close]]</f>
        <v>50.75</v>
      </c>
      <c r="E75" s="4">
        <f>NVDA[[#This Row],[Close]]</f>
        <v>242.729996</v>
      </c>
      <c r="F75" s="4">
        <f>QCOM[[#This Row],[Close]]</f>
        <v>57.380001</v>
      </c>
    </row>
    <row r="76" spans="1:6" x14ac:dyDescent="0.25">
      <c r="A76" s="8">
        <v>43287</v>
      </c>
      <c r="B76" s="4">
        <f>AAPL[[#This Row],[Close]]</f>
        <v>187.970001</v>
      </c>
      <c r="C76" s="4">
        <f>AMD[[#This Row],[Close]]</f>
        <v>16.360001</v>
      </c>
      <c r="D76" s="4">
        <f>INTC[[#This Row],[Close]]</f>
        <v>51.369999</v>
      </c>
      <c r="E76" s="4">
        <f>NVDA[[#This Row],[Close]]</f>
        <v>247.33000200000001</v>
      </c>
      <c r="F76" s="4">
        <f>QCOM[[#This Row],[Close]]</f>
        <v>57.84</v>
      </c>
    </row>
    <row r="77" spans="1:6" x14ac:dyDescent="0.25">
      <c r="A77" s="8">
        <v>43290</v>
      </c>
      <c r="B77" s="4">
        <f>AAPL[[#This Row],[Close]]</f>
        <v>190.58000200000001</v>
      </c>
      <c r="C77" s="4">
        <f>AMD[[#This Row],[Close]]</f>
        <v>16.610001</v>
      </c>
      <c r="D77" s="4">
        <f>INTC[[#This Row],[Close]]</f>
        <v>51.860000999999997</v>
      </c>
      <c r="E77" s="4">
        <f>NVDA[[#This Row],[Close]]</f>
        <v>249.25</v>
      </c>
      <c r="F77" s="4">
        <f>QCOM[[#This Row],[Close]]</f>
        <v>58.040000999999997</v>
      </c>
    </row>
    <row r="78" spans="1:6" x14ac:dyDescent="0.25">
      <c r="A78" s="8">
        <v>43291</v>
      </c>
      <c r="B78" s="4">
        <f>AAPL[[#This Row],[Close]]</f>
        <v>190.35000600000001</v>
      </c>
      <c r="C78" s="4">
        <f>AMD[[#This Row],[Close]]</f>
        <v>16.549999</v>
      </c>
      <c r="D78" s="4">
        <f>INTC[[#This Row],[Close]]</f>
        <v>52.16</v>
      </c>
      <c r="E78" s="4">
        <f>NVDA[[#This Row],[Close]]</f>
        <v>253.25</v>
      </c>
      <c r="F78" s="4">
        <f>QCOM[[#This Row],[Close]]</f>
        <v>58.369999</v>
      </c>
    </row>
    <row r="79" spans="1:6" x14ac:dyDescent="0.25">
      <c r="A79" s="8">
        <v>43292</v>
      </c>
      <c r="B79" s="4">
        <f>AAPL[[#This Row],[Close]]</f>
        <v>187.88000500000001</v>
      </c>
      <c r="C79" s="4">
        <f>AMD[[#This Row],[Close]]</f>
        <v>16.27</v>
      </c>
      <c r="D79" s="4">
        <f>INTC[[#This Row],[Close]]</f>
        <v>51.200001</v>
      </c>
      <c r="E79" s="4">
        <f>NVDA[[#This Row],[Close]]</f>
        <v>247.529999</v>
      </c>
      <c r="F79" s="4">
        <f>QCOM[[#This Row],[Close]]</f>
        <v>57.299999</v>
      </c>
    </row>
    <row r="80" spans="1:6" x14ac:dyDescent="0.25">
      <c r="A80" s="8">
        <v>43293</v>
      </c>
      <c r="B80" s="4">
        <f>AAPL[[#This Row],[Close]]</f>
        <v>191.029999</v>
      </c>
      <c r="C80" s="4">
        <f>AMD[[#This Row],[Close]]</f>
        <v>16.559999000000001</v>
      </c>
      <c r="D80" s="4">
        <f>INTC[[#This Row],[Close]]</f>
        <v>52.349997999999999</v>
      </c>
      <c r="E80" s="4">
        <f>NVDA[[#This Row],[Close]]</f>
        <v>251.229996</v>
      </c>
      <c r="F80" s="4">
        <f>QCOM[[#This Row],[Close]]</f>
        <v>58.32</v>
      </c>
    </row>
    <row r="81" spans="1:6" x14ac:dyDescent="0.25">
      <c r="A81" s="8">
        <v>43294</v>
      </c>
      <c r="B81" s="4">
        <f>AAPL[[#This Row],[Close]]</f>
        <v>191.33000200000001</v>
      </c>
      <c r="C81" s="4">
        <f>AMD[[#This Row],[Close]]</f>
        <v>16.27</v>
      </c>
      <c r="D81" s="4">
        <f>INTC[[#This Row],[Close]]</f>
        <v>52.220001000000003</v>
      </c>
      <c r="E81" s="4">
        <f>NVDA[[#This Row],[Close]]</f>
        <v>249.320007</v>
      </c>
      <c r="F81" s="4">
        <f>QCOM[[#This Row],[Close]]</f>
        <v>58.389999000000003</v>
      </c>
    </row>
    <row r="82" spans="1:6" x14ac:dyDescent="0.25">
      <c r="A82" s="8">
        <v>43297</v>
      </c>
      <c r="B82" s="4">
        <f>AAPL[[#This Row],[Close]]</f>
        <v>190.91000399999999</v>
      </c>
      <c r="C82" s="4">
        <f>AMD[[#This Row],[Close]]</f>
        <v>16.579999999999998</v>
      </c>
      <c r="D82" s="4">
        <f>INTC[[#This Row],[Close]]</f>
        <v>52.009998000000003</v>
      </c>
      <c r="E82" s="4">
        <f>NVDA[[#This Row],[Close]]</f>
        <v>248.199997</v>
      </c>
      <c r="F82" s="4">
        <f>QCOM[[#This Row],[Close]]</f>
        <v>58.349997999999999</v>
      </c>
    </row>
    <row r="83" spans="1:6" x14ac:dyDescent="0.25">
      <c r="A83" s="8">
        <v>43298</v>
      </c>
      <c r="B83" s="4">
        <f>AAPL[[#This Row],[Close]]</f>
        <v>191.449997</v>
      </c>
      <c r="C83" s="4">
        <f>AMD[[#This Row],[Close]]</f>
        <v>16.870000999999998</v>
      </c>
      <c r="D83" s="4">
        <f>INTC[[#This Row],[Close]]</f>
        <v>51.75</v>
      </c>
      <c r="E83" s="4">
        <f>NVDA[[#This Row],[Close]]</f>
        <v>253.69000199999999</v>
      </c>
      <c r="F83" s="4">
        <f>QCOM[[#This Row],[Close]]</f>
        <v>58.91</v>
      </c>
    </row>
    <row r="84" spans="1:6" x14ac:dyDescent="0.25">
      <c r="A84" s="8">
        <v>43299</v>
      </c>
      <c r="B84" s="4">
        <f>AAPL[[#This Row],[Close]]</f>
        <v>190.39999399999999</v>
      </c>
      <c r="C84" s="4">
        <f>AMD[[#This Row],[Close]]</f>
        <v>16.850000000000001</v>
      </c>
      <c r="D84" s="4">
        <f>INTC[[#This Row],[Close]]</f>
        <v>51.720001000000003</v>
      </c>
      <c r="E84" s="4">
        <f>NVDA[[#This Row],[Close]]</f>
        <v>251.699997</v>
      </c>
      <c r="F84" s="4">
        <f>QCOM[[#This Row],[Close]]</f>
        <v>58.759998000000003</v>
      </c>
    </row>
    <row r="85" spans="1:6" x14ac:dyDescent="0.25">
      <c r="A85" s="8">
        <v>43300</v>
      </c>
      <c r="B85" s="4">
        <f>AAPL[[#This Row],[Close]]</f>
        <v>191.88000500000001</v>
      </c>
      <c r="C85" s="4">
        <f>AMD[[#This Row],[Close]]</f>
        <v>16.709999</v>
      </c>
      <c r="D85" s="4">
        <f>INTC[[#This Row],[Close]]</f>
        <v>51.98</v>
      </c>
      <c r="E85" s="4">
        <f>NVDA[[#This Row],[Close]]</f>
        <v>252.029999</v>
      </c>
      <c r="F85" s="4">
        <f>QCOM[[#This Row],[Close]]</f>
        <v>59.310001</v>
      </c>
    </row>
    <row r="86" spans="1:6" x14ac:dyDescent="0.25">
      <c r="A86" s="8">
        <v>43301</v>
      </c>
      <c r="B86" s="4">
        <f>AAPL[[#This Row],[Close]]</f>
        <v>191.44000199999999</v>
      </c>
      <c r="C86" s="4">
        <f>AMD[[#This Row],[Close]]</f>
        <v>16.5</v>
      </c>
      <c r="D86" s="4">
        <f>INTC[[#This Row],[Close]]</f>
        <v>51.91</v>
      </c>
      <c r="E86" s="4">
        <f>NVDA[[#This Row],[Close]]</f>
        <v>250.88999899999999</v>
      </c>
      <c r="F86" s="4">
        <f>QCOM[[#This Row],[Close]]</f>
        <v>58.610000999999997</v>
      </c>
    </row>
    <row r="87" spans="1:6" x14ac:dyDescent="0.25">
      <c r="A87" s="8">
        <v>43304</v>
      </c>
      <c r="B87" s="4">
        <f>AAPL[[#This Row],[Close]]</f>
        <v>191.61000100000001</v>
      </c>
      <c r="C87" s="4">
        <f>AMD[[#This Row],[Close]]</f>
        <v>16.66</v>
      </c>
      <c r="D87" s="4">
        <f>INTC[[#This Row],[Close]]</f>
        <v>52.310001</v>
      </c>
      <c r="E87" s="4">
        <f>NVDA[[#This Row],[Close]]</f>
        <v>249.41000399999999</v>
      </c>
      <c r="F87" s="4">
        <f>QCOM[[#This Row],[Close]]</f>
        <v>59.080002</v>
      </c>
    </row>
    <row r="88" spans="1:6" x14ac:dyDescent="0.25">
      <c r="A88" s="8">
        <v>43305</v>
      </c>
      <c r="B88" s="4">
        <f>AAPL[[#This Row],[Close]]</f>
        <v>193</v>
      </c>
      <c r="C88" s="4">
        <f>AMD[[#This Row],[Close]]</f>
        <v>16.190000999999999</v>
      </c>
      <c r="D88" s="4">
        <f>INTC[[#This Row],[Close]]</f>
        <v>52.18</v>
      </c>
      <c r="E88" s="4">
        <f>NVDA[[#This Row],[Close]]</f>
        <v>248.71000699999999</v>
      </c>
      <c r="F88" s="4">
        <f>QCOM[[#This Row],[Close]]</f>
        <v>58.849997999999999</v>
      </c>
    </row>
    <row r="89" spans="1:6" x14ac:dyDescent="0.25">
      <c r="A89" s="8">
        <v>43306</v>
      </c>
      <c r="B89" s="4">
        <f>AAPL[[#This Row],[Close]]</f>
        <v>194.820007</v>
      </c>
      <c r="C89" s="4">
        <f>AMD[[#This Row],[Close]]</f>
        <v>16.049999</v>
      </c>
      <c r="D89" s="4">
        <f>INTC[[#This Row],[Close]]</f>
        <v>52.43</v>
      </c>
      <c r="E89" s="4">
        <f>NVDA[[#This Row],[Close]]</f>
        <v>251.86999499999999</v>
      </c>
      <c r="F89" s="4">
        <f>QCOM[[#This Row],[Close]]</f>
        <v>59.419998</v>
      </c>
    </row>
    <row r="90" spans="1:6" x14ac:dyDescent="0.25">
      <c r="A90" s="8">
        <v>43307</v>
      </c>
      <c r="B90" s="4">
        <f>AAPL[[#This Row],[Close]]</f>
        <v>194.21000699999999</v>
      </c>
      <c r="C90" s="4">
        <f>AMD[[#This Row],[Close]]</f>
        <v>18.350000000000001</v>
      </c>
      <c r="D90" s="4">
        <f>INTC[[#This Row],[Close]]</f>
        <v>52.16</v>
      </c>
      <c r="E90" s="4">
        <f>NVDA[[#This Row],[Close]]</f>
        <v>254.83999600000001</v>
      </c>
      <c r="F90" s="4">
        <f>QCOM[[#This Row],[Close]]</f>
        <v>63.580002</v>
      </c>
    </row>
    <row r="91" spans="1:6" x14ac:dyDescent="0.25">
      <c r="A91" s="8">
        <v>43308</v>
      </c>
      <c r="B91" s="4">
        <f>AAPL[[#This Row],[Close]]</f>
        <v>190.979996</v>
      </c>
      <c r="C91" s="4">
        <f>AMD[[#This Row],[Close]]</f>
        <v>18.940000999999999</v>
      </c>
      <c r="D91" s="4">
        <f>INTC[[#This Row],[Close]]</f>
        <v>47.68</v>
      </c>
      <c r="E91" s="4">
        <f>NVDA[[#This Row],[Close]]</f>
        <v>252.020004</v>
      </c>
      <c r="F91" s="4">
        <f>QCOM[[#This Row],[Close]]</f>
        <v>62.689999</v>
      </c>
    </row>
    <row r="92" spans="1:6" x14ac:dyDescent="0.25">
      <c r="A92" s="8">
        <v>43311</v>
      </c>
      <c r="B92" s="4">
        <f>AAPL[[#This Row],[Close]]</f>
        <v>189.91000399999999</v>
      </c>
      <c r="C92" s="4">
        <f>AMD[[#This Row],[Close]]</f>
        <v>19.420000000000002</v>
      </c>
      <c r="D92" s="4">
        <f>INTC[[#This Row],[Close]]</f>
        <v>47.689999</v>
      </c>
      <c r="E92" s="4">
        <f>NVDA[[#This Row],[Close]]</f>
        <v>244.13000500000001</v>
      </c>
      <c r="F92" s="4">
        <f>QCOM[[#This Row],[Close]]</f>
        <v>62.040000999999997</v>
      </c>
    </row>
    <row r="93" spans="1:6" x14ac:dyDescent="0.25">
      <c r="A93" s="8">
        <v>43312</v>
      </c>
      <c r="B93" s="4">
        <f>AAPL[[#This Row],[Close]]</f>
        <v>190.28999300000001</v>
      </c>
      <c r="C93" s="4">
        <f>AMD[[#This Row],[Close]]</f>
        <v>18.329999999999998</v>
      </c>
      <c r="D93" s="4">
        <f>INTC[[#This Row],[Close]]</f>
        <v>48.099997999999999</v>
      </c>
      <c r="E93" s="4">
        <f>NVDA[[#This Row],[Close]]</f>
        <v>244.86000100000001</v>
      </c>
      <c r="F93" s="4">
        <f>QCOM[[#This Row],[Close]]</f>
        <v>64.089995999999999</v>
      </c>
    </row>
    <row r="94" spans="1:6" x14ac:dyDescent="0.25">
      <c r="A94" s="8">
        <v>43313</v>
      </c>
      <c r="B94" s="4">
        <f>AAPL[[#This Row],[Close]]</f>
        <v>201.5</v>
      </c>
      <c r="C94" s="4">
        <f>AMD[[#This Row],[Close]]</f>
        <v>18.48</v>
      </c>
      <c r="D94" s="4">
        <f>INTC[[#This Row],[Close]]</f>
        <v>48.810001</v>
      </c>
      <c r="E94" s="4">
        <f>NVDA[[#This Row],[Close]]</f>
        <v>246.470001</v>
      </c>
      <c r="F94" s="4">
        <f>QCOM[[#This Row],[Close]]</f>
        <v>64.349997999999999</v>
      </c>
    </row>
    <row r="95" spans="1:6" x14ac:dyDescent="0.25">
      <c r="A95" s="8">
        <v>43314</v>
      </c>
      <c r="B95" s="4">
        <f>AAPL[[#This Row],[Close]]</f>
        <v>207.38999899999999</v>
      </c>
      <c r="C95" s="4">
        <f>AMD[[#This Row],[Close]]</f>
        <v>18.790001</v>
      </c>
      <c r="D95" s="4">
        <f>INTC[[#This Row],[Close]]</f>
        <v>49.48</v>
      </c>
      <c r="E95" s="4">
        <f>NVDA[[#This Row],[Close]]</f>
        <v>250.61999499999999</v>
      </c>
      <c r="F95" s="4">
        <f>QCOM[[#This Row],[Close]]</f>
        <v>64.769997000000004</v>
      </c>
    </row>
    <row r="96" spans="1:6" x14ac:dyDescent="0.25">
      <c r="A96" s="8">
        <v>43315</v>
      </c>
      <c r="B96" s="4">
        <f>AAPL[[#This Row],[Close]]</f>
        <v>207.990005</v>
      </c>
      <c r="C96" s="4">
        <f>AMD[[#This Row],[Close]]</f>
        <v>18.489999999999998</v>
      </c>
      <c r="D96" s="4">
        <f>INTC[[#This Row],[Close]]</f>
        <v>49.630001</v>
      </c>
      <c r="E96" s="4">
        <f>NVDA[[#This Row],[Close]]</f>
        <v>252.10000600000001</v>
      </c>
      <c r="F96" s="4">
        <f>QCOM[[#This Row],[Close]]</f>
        <v>65.400002000000001</v>
      </c>
    </row>
    <row r="97" spans="1:6" x14ac:dyDescent="0.25">
      <c r="A97" s="8">
        <v>43318</v>
      </c>
      <c r="B97" s="4">
        <f>AAPL[[#This Row],[Close]]</f>
        <v>209.070007</v>
      </c>
      <c r="C97" s="4">
        <f>AMD[[#This Row],[Close]]</f>
        <v>19.43</v>
      </c>
      <c r="D97" s="4">
        <f>INTC[[#This Row],[Close]]</f>
        <v>49.299999</v>
      </c>
      <c r="E97" s="4">
        <f>NVDA[[#This Row],[Close]]</f>
        <v>254.029999</v>
      </c>
      <c r="F97" s="4">
        <f>QCOM[[#This Row],[Close]]</f>
        <v>65.730002999999996</v>
      </c>
    </row>
    <row r="98" spans="1:6" x14ac:dyDescent="0.25">
      <c r="A98" s="8">
        <v>43319</v>
      </c>
      <c r="B98" s="4">
        <f>AAPL[[#This Row],[Close]]</f>
        <v>207.11000100000001</v>
      </c>
      <c r="C98" s="4">
        <f>AMD[[#This Row],[Close]]</f>
        <v>19.559999000000001</v>
      </c>
      <c r="D98" s="4">
        <f>INTC[[#This Row],[Close]]</f>
        <v>49.700001</v>
      </c>
      <c r="E98" s="4">
        <f>NVDA[[#This Row],[Close]]</f>
        <v>256.95001200000002</v>
      </c>
      <c r="F98" s="4">
        <f>QCOM[[#This Row],[Close]]</f>
        <v>65.440002000000007</v>
      </c>
    </row>
    <row r="99" spans="1:6" x14ac:dyDescent="0.25">
      <c r="A99" s="8">
        <v>43320</v>
      </c>
      <c r="B99" s="4">
        <f>AAPL[[#This Row],[Close]]</f>
        <v>207.25</v>
      </c>
      <c r="C99" s="4">
        <f>AMD[[#This Row],[Close]]</f>
        <v>19.579999999999998</v>
      </c>
      <c r="D99" s="4">
        <f>INTC[[#This Row],[Close]]</f>
        <v>49.959999000000003</v>
      </c>
      <c r="E99" s="4">
        <f>NVDA[[#This Row],[Close]]</f>
        <v>258.42001299999998</v>
      </c>
      <c r="F99" s="4">
        <f>QCOM[[#This Row],[Close]]</f>
        <v>65.160004000000001</v>
      </c>
    </row>
    <row r="100" spans="1:6" x14ac:dyDescent="0.25">
      <c r="A100" s="8">
        <v>43321</v>
      </c>
      <c r="B100" s="4">
        <f>AAPL[[#This Row],[Close]]</f>
        <v>208.88000500000001</v>
      </c>
      <c r="C100" s="4">
        <f>AMD[[#This Row],[Close]]</f>
        <v>19.100000000000001</v>
      </c>
      <c r="D100" s="4">
        <f>INTC[[#This Row],[Close]]</f>
        <v>50.139999000000003</v>
      </c>
      <c r="E100" s="4">
        <f>NVDA[[#This Row],[Close]]</f>
        <v>256.459991</v>
      </c>
      <c r="F100" s="4">
        <f>QCOM[[#This Row],[Close]]</f>
        <v>65.080001999999993</v>
      </c>
    </row>
    <row r="101" spans="1:6" x14ac:dyDescent="0.25">
      <c r="A101" s="8">
        <v>43322</v>
      </c>
      <c r="B101" s="4">
        <f>AAPL[[#This Row],[Close]]</f>
        <v>207.529999</v>
      </c>
      <c r="C101" s="4">
        <f>AMD[[#This Row],[Close]]</f>
        <v>19.059999000000001</v>
      </c>
      <c r="D101" s="4">
        <f>INTC[[#This Row],[Close]]</f>
        <v>48.849997999999999</v>
      </c>
      <c r="E101" s="4">
        <f>NVDA[[#This Row],[Close]]</f>
        <v>254.78999300000001</v>
      </c>
      <c r="F101" s="4">
        <f>QCOM[[#This Row],[Close]]</f>
        <v>64.819999999999993</v>
      </c>
    </row>
    <row r="102" spans="1:6" x14ac:dyDescent="0.25">
      <c r="A102" s="8">
        <v>43325</v>
      </c>
      <c r="B102" s="4">
        <f>AAPL[[#This Row],[Close]]</f>
        <v>208.86999499999999</v>
      </c>
      <c r="C102" s="4">
        <f>AMD[[#This Row],[Close]]</f>
        <v>19.73</v>
      </c>
      <c r="D102" s="4">
        <f>INTC[[#This Row],[Close]]</f>
        <v>48.450001</v>
      </c>
      <c r="E102" s="4">
        <f>NVDA[[#This Row],[Close]]</f>
        <v>256.11999500000002</v>
      </c>
      <c r="F102" s="4">
        <f>QCOM[[#This Row],[Close]]</f>
        <v>64.839995999999999</v>
      </c>
    </row>
    <row r="103" spans="1:6" x14ac:dyDescent="0.25">
      <c r="A103" s="8">
        <v>43326</v>
      </c>
      <c r="B103" s="4">
        <f>AAPL[[#This Row],[Close]]</f>
        <v>209.75</v>
      </c>
      <c r="C103" s="4">
        <f>AMD[[#This Row],[Close]]</f>
        <v>20.02</v>
      </c>
      <c r="D103" s="4">
        <f>INTC[[#This Row],[Close]]</f>
        <v>48.119999</v>
      </c>
      <c r="E103" s="4">
        <f>NVDA[[#This Row],[Close]]</f>
        <v>261.42999300000002</v>
      </c>
      <c r="F103" s="4">
        <f>QCOM[[#This Row],[Close]]</f>
        <v>65.430000000000007</v>
      </c>
    </row>
    <row r="104" spans="1:6" x14ac:dyDescent="0.25">
      <c r="A104" s="8">
        <v>43327</v>
      </c>
      <c r="B104" s="4">
        <f>AAPL[[#This Row],[Close]]</f>
        <v>210.240005</v>
      </c>
      <c r="C104" s="4">
        <f>AMD[[#This Row],[Close]]</f>
        <v>19.700001</v>
      </c>
      <c r="D104" s="4">
        <f>INTC[[#This Row],[Close]]</f>
        <v>47.459999000000003</v>
      </c>
      <c r="E104" s="4">
        <f>NVDA[[#This Row],[Close]]</f>
        <v>259.07998700000002</v>
      </c>
      <c r="F104" s="4">
        <f>QCOM[[#This Row],[Close]]</f>
        <v>65.680000000000007</v>
      </c>
    </row>
    <row r="105" spans="1:6" x14ac:dyDescent="0.25">
      <c r="A105" s="8">
        <v>43328</v>
      </c>
      <c r="B105" s="4">
        <f>AAPL[[#This Row],[Close]]</f>
        <v>213.320007</v>
      </c>
      <c r="C105" s="4">
        <f>AMD[[#This Row],[Close]]</f>
        <v>19.329999999999998</v>
      </c>
      <c r="D105" s="4">
        <f>INTC[[#This Row],[Close]]</f>
        <v>47.169998</v>
      </c>
      <c r="E105" s="4">
        <f>NVDA[[#This Row],[Close]]</f>
        <v>257.44000199999999</v>
      </c>
      <c r="F105" s="4">
        <f>QCOM[[#This Row],[Close]]</f>
        <v>65.760002</v>
      </c>
    </row>
    <row r="106" spans="1:6" x14ac:dyDescent="0.25">
      <c r="A106" s="8">
        <v>43329</v>
      </c>
      <c r="B106" s="4">
        <f>AAPL[[#This Row],[Close]]</f>
        <v>217.58000200000001</v>
      </c>
      <c r="C106" s="4">
        <f>AMD[[#This Row],[Close]]</f>
        <v>19.77</v>
      </c>
      <c r="D106" s="4">
        <f>INTC[[#This Row],[Close]]</f>
        <v>47.099997999999999</v>
      </c>
      <c r="E106" s="4">
        <f>NVDA[[#This Row],[Close]]</f>
        <v>244.820007</v>
      </c>
      <c r="F106" s="4">
        <f>QCOM[[#This Row],[Close]]</f>
        <v>66.059997999999993</v>
      </c>
    </row>
    <row r="107" spans="1:6" x14ac:dyDescent="0.25">
      <c r="A107" s="8">
        <v>43332</v>
      </c>
      <c r="B107" s="4">
        <f>AAPL[[#This Row],[Close]]</f>
        <v>215.46000699999999</v>
      </c>
      <c r="C107" s="4">
        <f>AMD[[#This Row],[Close]]</f>
        <v>19.98</v>
      </c>
      <c r="D107" s="4">
        <f>INTC[[#This Row],[Close]]</f>
        <v>46.5</v>
      </c>
      <c r="E107" s="4">
        <f>NVDA[[#This Row],[Close]]</f>
        <v>247.83999600000001</v>
      </c>
      <c r="F107" s="4">
        <f>QCOM[[#This Row],[Close]]</f>
        <v>66.160004000000001</v>
      </c>
    </row>
    <row r="108" spans="1:6" x14ac:dyDescent="0.25">
      <c r="A108" s="8">
        <v>43333</v>
      </c>
      <c r="B108" s="4">
        <f>AAPL[[#This Row],[Close]]</f>
        <v>215.03999300000001</v>
      </c>
      <c r="C108" s="4">
        <f>AMD[[#This Row],[Close]]</f>
        <v>20.399999999999999</v>
      </c>
      <c r="D108" s="4">
        <f>INTC[[#This Row],[Close]]</f>
        <v>47.619999</v>
      </c>
      <c r="E108" s="4">
        <f>NVDA[[#This Row],[Close]]</f>
        <v>253.320007</v>
      </c>
      <c r="F108" s="4">
        <f>QCOM[[#This Row],[Close]]</f>
        <v>66.550003000000004</v>
      </c>
    </row>
    <row r="109" spans="1:6" x14ac:dyDescent="0.25">
      <c r="A109" s="8">
        <v>43334</v>
      </c>
      <c r="B109" s="4">
        <f>AAPL[[#This Row],[Close]]</f>
        <v>215.050003</v>
      </c>
      <c r="C109" s="4">
        <f>AMD[[#This Row],[Close]]</f>
        <v>20.9</v>
      </c>
      <c r="D109" s="4">
        <f>INTC[[#This Row],[Close]]</f>
        <v>47.049999</v>
      </c>
      <c r="E109" s="4">
        <f>NVDA[[#This Row],[Close]]</f>
        <v>262.82000699999998</v>
      </c>
      <c r="F109" s="4">
        <f>QCOM[[#This Row],[Close]]</f>
        <v>66.839995999999999</v>
      </c>
    </row>
    <row r="110" spans="1:6" x14ac:dyDescent="0.25">
      <c r="A110" s="8">
        <v>43335</v>
      </c>
      <c r="B110" s="4">
        <f>AAPL[[#This Row],[Close]]</f>
        <v>215.490005</v>
      </c>
      <c r="C110" s="4">
        <f>AMD[[#This Row],[Close]]</f>
        <v>22.290001</v>
      </c>
      <c r="D110" s="4">
        <f>INTC[[#This Row],[Close]]</f>
        <v>46.98</v>
      </c>
      <c r="E110" s="4">
        <f>NVDA[[#This Row],[Close]]</f>
        <v>266.83999599999999</v>
      </c>
      <c r="F110" s="4">
        <f>QCOM[[#This Row],[Close]]</f>
        <v>66.860000999999997</v>
      </c>
    </row>
    <row r="111" spans="1:6" x14ac:dyDescent="0.25">
      <c r="A111" s="8">
        <v>43336</v>
      </c>
      <c r="B111" s="4">
        <f>AAPL[[#This Row],[Close]]</f>
        <v>216.16000399999999</v>
      </c>
      <c r="C111" s="4">
        <f>AMD[[#This Row],[Close]]</f>
        <v>23.98</v>
      </c>
      <c r="D111" s="4">
        <f>INTC[[#This Row],[Close]]</f>
        <v>47.66</v>
      </c>
      <c r="E111" s="4">
        <f>NVDA[[#This Row],[Close]]</f>
        <v>272.22000100000002</v>
      </c>
      <c r="F111" s="4">
        <f>QCOM[[#This Row],[Close]]</f>
        <v>67.150002000000001</v>
      </c>
    </row>
    <row r="112" spans="1:6" x14ac:dyDescent="0.25">
      <c r="A112" s="8">
        <v>43339</v>
      </c>
      <c r="B112" s="4">
        <f>AAPL[[#This Row],[Close]]</f>
        <v>217.94000199999999</v>
      </c>
      <c r="C112" s="4">
        <f>AMD[[#This Row],[Close]]</f>
        <v>25.26</v>
      </c>
      <c r="D112" s="4">
        <f>INTC[[#This Row],[Close]]</f>
        <v>48.349997999999999</v>
      </c>
      <c r="E112" s="4">
        <f>NVDA[[#This Row],[Close]]</f>
        <v>275.89999399999999</v>
      </c>
      <c r="F112" s="4">
        <f>QCOM[[#This Row],[Close]]</f>
        <v>67.339995999999999</v>
      </c>
    </row>
    <row r="113" spans="1:6" x14ac:dyDescent="0.25">
      <c r="A113" s="8">
        <v>43340</v>
      </c>
      <c r="B113" s="4">
        <f>AAPL[[#This Row],[Close]]</f>
        <v>219.699997</v>
      </c>
      <c r="C113" s="4">
        <f>AMD[[#This Row],[Close]]</f>
        <v>25.049999</v>
      </c>
      <c r="D113" s="4">
        <f>INTC[[#This Row],[Close]]</f>
        <v>48.57</v>
      </c>
      <c r="E113" s="4">
        <f>NVDA[[#This Row],[Close]]</f>
        <v>274.38000499999998</v>
      </c>
      <c r="F113" s="4">
        <f>QCOM[[#This Row],[Close]]</f>
        <v>69.779999000000004</v>
      </c>
    </row>
    <row r="114" spans="1:6" x14ac:dyDescent="0.25">
      <c r="A114" s="8">
        <v>43341</v>
      </c>
      <c r="B114" s="4">
        <f>AAPL[[#This Row],[Close]]</f>
        <v>222.979996</v>
      </c>
      <c r="C114" s="4">
        <f>AMD[[#This Row],[Close]]</f>
        <v>25.200001</v>
      </c>
      <c r="D114" s="4">
        <f>INTC[[#This Row],[Close]]</f>
        <v>48.75</v>
      </c>
      <c r="E114" s="4">
        <f>NVDA[[#This Row],[Close]]</f>
        <v>278.48998999999998</v>
      </c>
      <c r="F114" s="4">
        <f>QCOM[[#This Row],[Close]]</f>
        <v>69.199996999999996</v>
      </c>
    </row>
    <row r="115" spans="1:6" x14ac:dyDescent="0.25">
      <c r="A115" s="8">
        <v>43342</v>
      </c>
      <c r="B115" s="4">
        <f>AAPL[[#This Row],[Close]]</f>
        <v>225.029999</v>
      </c>
      <c r="C115" s="4">
        <f>AMD[[#This Row],[Close]]</f>
        <v>24.889999</v>
      </c>
      <c r="D115" s="4">
        <f>INTC[[#This Row],[Close]]</f>
        <v>48.240001999999997</v>
      </c>
      <c r="E115" s="4">
        <f>NVDA[[#This Row],[Close]]</f>
        <v>277.80999800000001</v>
      </c>
      <c r="F115" s="4">
        <f>QCOM[[#This Row],[Close]]</f>
        <v>68.139999000000003</v>
      </c>
    </row>
    <row r="116" spans="1:6" x14ac:dyDescent="0.25">
      <c r="A116" s="8">
        <v>43343</v>
      </c>
      <c r="B116" s="4">
        <f>AAPL[[#This Row],[Close]]</f>
        <v>227.63000500000001</v>
      </c>
      <c r="C116" s="4">
        <f>AMD[[#This Row],[Close]]</f>
        <v>25.17</v>
      </c>
      <c r="D116" s="4">
        <f>INTC[[#This Row],[Close]]</f>
        <v>48.43</v>
      </c>
      <c r="E116" s="4">
        <f>NVDA[[#This Row],[Close]]</f>
        <v>280.67999300000002</v>
      </c>
      <c r="F116" s="4">
        <f>QCOM[[#This Row],[Close]]</f>
        <v>68.709998999999996</v>
      </c>
    </row>
    <row r="117" spans="1:6" x14ac:dyDescent="0.25">
      <c r="A117" s="8">
        <v>43347</v>
      </c>
      <c r="B117" s="4">
        <f>AAPL[[#This Row],[Close]]</f>
        <v>228.36000100000001</v>
      </c>
      <c r="C117" s="4">
        <f>AMD[[#This Row],[Close]]</f>
        <v>28.059999000000001</v>
      </c>
      <c r="D117" s="4">
        <f>INTC[[#This Row],[Close]]</f>
        <v>47.959999000000003</v>
      </c>
      <c r="E117" s="4">
        <f>NVDA[[#This Row],[Close]]</f>
        <v>283.70001200000002</v>
      </c>
      <c r="F117" s="4">
        <f>QCOM[[#This Row],[Close]]</f>
        <v>69.980002999999996</v>
      </c>
    </row>
    <row r="118" spans="1:6" x14ac:dyDescent="0.25">
      <c r="A118" s="8">
        <v>43348</v>
      </c>
      <c r="B118" s="4">
        <f>AAPL[[#This Row],[Close]]</f>
        <v>226.86999499999999</v>
      </c>
      <c r="C118" s="4">
        <f>AMD[[#This Row],[Close]]</f>
        <v>28.51</v>
      </c>
      <c r="D118" s="4">
        <f>INTC[[#This Row],[Close]]</f>
        <v>47.720001000000003</v>
      </c>
      <c r="E118" s="4">
        <f>NVDA[[#This Row],[Close]]</f>
        <v>278.42001299999998</v>
      </c>
      <c r="F118" s="4">
        <f>QCOM[[#This Row],[Close]]</f>
        <v>70.889999000000003</v>
      </c>
    </row>
    <row r="119" spans="1:6" x14ac:dyDescent="0.25">
      <c r="A119" s="8">
        <v>43349</v>
      </c>
      <c r="B119" s="4">
        <f>AAPL[[#This Row],[Close]]</f>
        <v>223.10000600000001</v>
      </c>
      <c r="C119" s="4">
        <f>AMD[[#This Row],[Close]]</f>
        <v>27.84</v>
      </c>
      <c r="D119" s="4">
        <f>INTC[[#This Row],[Close]]</f>
        <v>47.259998000000003</v>
      </c>
      <c r="E119" s="4">
        <f>NVDA[[#This Row],[Close]]</f>
        <v>272.72000100000002</v>
      </c>
      <c r="F119" s="4">
        <f>QCOM[[#This Row],[Close]]</f>
        <v>70.360000999999997</v>
      </c>
    </row>
    <row r="120" spans="1:6" x14ac:dyDescent="0.25">
      <c r="A120" s="8">
        <v>43350</v>
      </c>
      <c r="B120" s="4">
        <f>AAPL[[#This Row],[Close]]</f>
        <v>221.300003</v>
      </c>
      <c r="C120" s="4">
        <f>AMD[[#This Row],[Close]]</f>
        <v>27.379999000000002</v>
      </c>
      <c r="D120" s="4">
        <f>INTC[[#This Row],[Close]]</f>
        <v>46.450001</v>
      </c>
      <c r="E120" s="4">
        <f>NVDA[[#This Row],[Close]]</f>
        <v>271.85998499999999</v>
      </c>
      <c r="F120" s="4">
        <f>QCOM[[#This Row],[Close]]</f>
        <v>70.379997000000003</v>
      </c>
    </row>
    <row r="121" spans="1:6" x14ac:dyDescent="0.25">
      <c r="A121" s="8">
        <v>43353</v>
      </c>
      <c r="B121" s="4">
        <f>AAPL[[#This Row],[Close]]</f>
        <v>218.33000200000001</v>
      </c>
      <c r="C121" s="4">
        <f>AMD[[#This Row],[Close]]</f>
        <v>29.889999</v>
      </c>
      <c r="D121" s="4">
        <f>INTC[[#This Row],[Close]]</f>
        <v>46.299999</v>
      </c>
      <c r="E121" s="4">
        <f>NVDA[[#This Row],[Close]]</f>
        <v>274.73001099999999</v>
      </c>
      <c r="F121" s="4">
        <f>QCOM[[#This Row],[Close]]</f>
        <v>72.319999999999993</v>
      </c>
    </row>
    <row r="122" spans="1:6" x14ac:dyDescent="0.25">
      <c r="A122" s="8">
        <v>43354</v>
      </c>
      <c r="B122" s="4">
        <f>AAPL[[#This Row],[Close]]</f>
        <v>223.85000600000001</v>
      </c>
      <c r="C122" s="4">
        <f>AMD[[#This Row],[Close]]</f>
        <v>30.1</v>
      </c>
      <c r="D122" s="4">
        <f>INTC[[#This Row],[Close]]</f>
        <v>44.93</v>
      </c>
      <c r="E122" s="4">
        <f>NVDA[[#This Row],[Close]]</f>
        <v>272.79998799999998</v>
      </c>
      <c r="F122" s="4">
        <f>QCOM[[#This Row],[Close]]</f>
        <v>72.510002</v>
      </c>
    </row>
    <row r="123" spans="1:6" x14ac:dyDescent="0.25">
      <c r="A123" s="8">
        <v>43355</v>
      </c>
      <c r="B123" s="4">
        <f>AAPL[[#This Row],[Close]]</f>
        <v>221.070007</v>
      </c>
      <c r="C123" s="4">
        <f>AMD[[#This Row],[Close]]</f>
        <v>32.209999000000003</v>
      </c>
      <c r="D123" s="4">
        <f>INTC[[#This Row],[Close]]</f>
        <v>44.93</v>
      </c>
      <c r="E123" s="4">
        <f>NVDA[[#This Row],[Close]]</f>
        <v>268.20001200000002</v>
      </c>
      <c r="F123" s="4">
        <f>QCOM[[#This Row],[Close]]</f>
        <v>71.75</v>
      </c>
    </row>
    <row r="124" spans="1:6" x14ac:dyDescent="0.25">
      <c r="A124" s="8">
        <v>43356</v>
      </c>
      <c r="B124" s="4">
        <f>AAPL[[#This Row],[Close]]</f>
        <v>226.41000399999999</v>
      </c>
      <c r="C124" s="4">
        <f>AMD[[#This Row],[Close]]</f>
        <v>30.48</v>
      </c>
      <c r="D124" s="4">
        <f>INTC[[#This Row],[Close]]</f>
        <v>45.57</v>
      </c>
      <c r="E124" s="4">
        <f>NVDA[[#This Row],[Close]]</f>
        <v>271.33999599999999</v>
      </c>
      <c r="F124" s="4">
        <f>QCOM[[#This Row],[Close]]</f>
        <v>74.610000999999997</v>
      </c>
    </row>
    <row r="125" spans="1:6" x14ac:dyDescent="0.25">
      <c r="A125" s="8">
        <v>43357</v>
      </c>
      <c r="B125" s="4">
        <f>AAPL[[#This Row],[Close]]</f>
        <v>223.83999600000001</v>
      </c>
      <c r="C125" s="4">
        <f>AMD[[#This Row],[Close]]</f>
        <v>32.720001000000003</v>
      </c>
      <c r="D125" s="4">
        <f>INTC[[#This Row],[Close]]</f>
        <v>45.540000999999997</v>
      </c>
      <c r="E125" s="4">
        <f>NVDA[[#This Row],[Close]]</f>
        <v>276.42999300000002</v>
      </c>
      <c r="F125" s="4">
        <f>QCOM[[#This Row],[Close]]</f>
        <v>75.089995999999999</v>
      </c>
    </row>
    <row r="126" spans="1:6" x14ac:dyDescent="0.25">
      <c r="A126" s="8">
        <v>43360</v>
      </c>
      <c r="B126" s="4">
        <f>AAPL[[#This Row],[Close]]</f>
        <v>217.88000500000001</v>
      </c>
      <c r="C126" s="4">
        <f>AMD[[#This Row],[Close]]</f>
        <v>32.43</v>
      </c>
      <c r="D126" s="4">
        <f>INTC[[#This Row],[Close]]</f>
        <v>45.419998</v>
      </c>
      <c r="E126" s="4">
        <f>NVDA[[#This Row],[Close]]</f>
        <v>273.92999300000002</v>
      </c>
      <c r="F126" s="4">
        <f>QCOM[[#This Row],[Close]]</f>
        <v>73.239998</v>
      </c>
    </row>
    <row r="127" spans="1:6" x14ac:dyDescent="0.25">
      <c r="A127" s="8">
        <v>43361</v>
      </c>
      <c r="B127" s="4">
        <f>AAPL[[#This Row],[Close]]</f>
        <v>218.240005</v>
      </c>
      <c r="C127" s="4">
        <f>AMD[[#This Row],[Close]]</f>
        <v>31.93</v>
      </c>
      <c r="D127" s="4">
        <f>INTC[[#This Row],[Close]]</f>
        <v>46.099997999999999</v>
      </c>
      <c r="E127" s="4">
        <f>NVDA[[#This Row],[Close]]</f>
        <v>271.01998900000001</v>
      </c>
      <c r="F127" s="4">
        <f>QCOM[[#This Row],[Close]]</f>
        <v>74.720000999999996</v>
      </c>
    </row>
    <row r="128" spans="1:6" x14ac:dyDescent="0.25">
      <c r="A128" s="8">
        <v>43362</v>
      </c>
      <c r="B128" s="4">
        <f>AAPL[[#This Row],[Close]]</f>
        <v>218.36999499999999</v>
      </c>
      <c r="C128" s="4">
        <f>AMD[[#This Row],[Close]]</f>
        <v>31.209999</v>
      </c>
      <c r="D128" s="4">
        <f>INTC[[#This Row],[Close]]</f>
        <v>46.150002000000001</v>
      </c>
      <c r="E128" s="4">
        <f>NVDA[[#This Row],[Close]]</f>
        <v>271.98001099999999</v>
      </c>
      <c r="F128" s="4">
        <f>QCOM[[#This Row],[Close]]</f>
        <v>74.059997999999993</v>
      </c>
    </row>
    <row r="129" spans="1:6" x14ac:dyDescent="0.25">
      <c r="A129" s="8">
        <v>43363</v>
      </c>
      <c r="B129" s="4">
        <f>AAPL[[#This Row],[Close]]</f>
        <v>220.029999</v>
      </c>
      <c r="C129" s="4">
        <f>AMD[[#This Row],[Close]]</f>
        <v>31.18</v>
      </c>
      <c r="D129" s="4">
        <f>INTC[[#This Row],[Close]]</f>
        <v>47.200001</v>
      </c>
      <c r="E129" s="4">
        <f>NVDA[[#This Row],[Close]]</f>
        <v>266.27999899999998</v>
      </c>
      <c r="F129" s="4">
        <f>QCOM[[#This Row],[Close]]</f>
        <v>74.599997999999999</v>
      </c>
    </row>
    <row r="130" spans="1:6" x14ac:dyDescent="0.25">
      <c r="A130" s="8">
        <v>43364</v>
      </c>
      <c r="B130" s="4">
        <f>AAPL[[#This Row],[Close]]</f>
        <v>217.66000399999999</v>
      </c>
      <c r="C130" s="4">
        <f>AMD[[#This Row],[Close]]</f>
        <v>31.02</v>
      </c>
      <c r="D130" s="4">
        <f>INTC[[#This Row],[Close]]</f>
        <v>46.66</v>
      </c>
      <c r="E130" s="4">
        <f>NVDA[[#This Row],[Close]]</f>
        <v>263.45001200000002</v>
      </c>
      <c r="F130" s="4">
        <f>QCOM[[#This Row],[Close]]</f>
        <v>73.699996999999996</v>
      </c>
    </row>
    <row r="131" spans="1:6" x14ac:dyDescent="0.25">
      <c r="A131" s="8">
        <v>43367</v>
      </c>
      <c r="B131" s="4">
        <f>AAPL[[#This Row],[Close]]</f>
        <v>220.78999300000001</v>
      </c>
      <c r="C131" s="4">
        <f>AMD[[#This Row],[Close]]</f>
        <v>32.610000999999997</v>
      </c>
      <c r="D131" s="4">
        <f>INTC[[#This Row],[Close]]</f>
        <v>46.91</v>
      </c>
      <c r="E131" s="4">
        <f>NVDA[[#This Row],[Close]]</f>
        <v>265.70001200000002</v>
      </c>
      <c r="F131" s="4">
        <f>QCOM[[#This Row],[Close]]</f>
        <v>73.580001999999993</v>
      </c>
    </row>
    <row r="132" spans="1:6" x14ac:dyDescent="0.25">
      <c r="A132" s="8">
        <v>43368</v>
      </c>
      <c r="B132" s="4">
        <f>AAPL[[#This Row],[Close]]</f>
        <v>222.19000199999999</v>
      </c>
      <c r="C132" s="4">
        <f>AMD[[#This Row],[Close]]</f>
        <v>32.57</v>
      </c>
      <c r="D132" s="4">
        <f>INTC[[#This Row],[Close]]</f>
        <v>45.91</v>
      </c>
      <c r="E132" s="4">
        <f>NVDA[[#This Row],[Close]]</f>
        <v>268.41000400000001</v>
      </c>
      <c r="F132" s="4">
        <f>QCOM[[#This Row],[Close]]</f>
        <v>72.739998</v>
      </c>
    </row>
    <row r="133" spans="1:6" x14ac:dyDescent="0.25">
      <c r="A133" s="8">
        <v>43369</v>
      </c>
      <c r="B133" s="4">
        <f>AAPL[[#This Row],[Close]]</f>
        <v>220.41999799999999</v>
      </c>
      <c r="C133" s="4">
        <f>AMD[[#This Row],[Close]]</f>
        <v>32.189999</v>
      </c>
      <c r="D133" s="4">
        <f>INTC[[#This Row],[Close]]</f>
        <v>45.700001</v>
      </c>
      <c r="E133" s="4">
        <f>NVDA[[#This Row],[Close]]</f>
        <v>266.92001299999998</v>
      </c>
      <c r="F133" s="4">
        <f>QCOM[[#This Row],[Close]]</f>
        <v>71.760002</v>
      </c>
    </row>
    <row r="134" spans="1:6" x14ac:dyDescent="0.25">
      <c r="A134" s="8">
        <v>43370</v>
      </c>
      <c r="B134" s="4">
        <f>AAPL[[#This Row],[Close]]</f>
        <v>224.949997</v>
      </c>
      <c r="C134" s="4">
        <f>AMD[[#This Row],[Close]]</f>
        <v>32.590000000000003</v>
      </c>
      <c r="D134" s="4">
        <f>INTC[[#This Row],[Close]]</f>
        <v>45.880001</v>
      </c>
      <c r="E134" s="4">
        <f>NVDA[[#This Row],[Close]]</f>
        <v>267.39999399999999</v>
      </c>
      <c r="F134" s="4">
        <f>QCOM[[#This Row],[Close]]</f>
        <v>71.709998999999996</v>
      </c>
    </row>
    <row r="135" spans="1:6" x14ac:dyDescent="0.25">
      <c r="A135" s="8">
        <v>43371</v>
      </c>
      <c r="B135" s="4">
        <f>AAPL[[#This Row],[Close]]</f>
        <v>225.740005</v>
      </c>
      <c r="C135" s="4">
        <f>AMD[[#This Row],[Close]]</f>
        <v>30.889999</v>
      </c>
      <c r="D135" s="4">
        <f>INTC[[#This Row],[Close]]</f>
        <v>47.290000999999997</v>
      </c>
      <c r="E135" s="4">
        <f>NVDA[[#This Row],[Close]]</f>
        <v>281.01998900000001</v>
      </c>
      <c r="F135" s="4">
        <f>QCOM[[#This Row],[Close]]</f>
        <v>72.029999000000004</v>
      </c>
    </row>
    <row r="136" spans="1:6" x14ac:dyDescent="0.25">
      <c r="A136" s="8">
        <v>43374</v>
      </c>
      <c r="B136" s="4">
        <f>AAPL[[#This Row],[Close]]</f>
        <v>227.259995</v>
      </c>
      <c r="C136" s="4">
        <f>AMD[[#This Row],[Close]]</f>
        <v>31.42</v>
      </c>
      <c r="D136" s="4">
        <f>INTC[[#This Row],[Close]]</f>
        <v>46.450001</v>
      </c>
      <c r="E136" s="4">
        <f>NVDA[[#This Row],[Close]]</f>
        <v>289.35998499999999</v>
      </c>
      <c r="F136" s="4">
        <f>QCOM[[#This Row],[Close]]</f>
        <v>72.599997999999999</v>
      </c>
    </row>
    <row r="137" spans="1:6" x14ac:dyDescent="0.25">
      <c r="A137" s="8">
        <v>43375</v>
      </c>
      <c r="B137" s="4">
        <f>AAPL[[#This Row],[Close]]</f>
        <v>229.279999</v>
      </c>
      <c r="C137" s="4">
        <f>AMD[[#This Row],[Close]]</f>
        <v>29.02</v>
      </c>
      <c r="D137" s="4">
        <f>INTC[[#This Row],[Close]]</f>
        <v>48.099997999999999</v>
      </c>
      <c r="E137" s="4">
        <f>NVDA[[#This Row],[Close]]</f>
        <v>286.48001099999999</v>
      </c>
      <c r="F137" s="4">
        <f>QCOM[[#This Row],[Close]]</f>
        <v>73.349997999999999</v>
      </c>
    </row>
    <row r="138" spans="1:6" x14ac:dyDescent="0.25">
      <c r="A138" s="8">
        <v>43376</v>
      </c>
      <c r="B138" s="4">
        <f>AAPL[[#This Row],[Close]]</f>
        <v>232.070007</v>
      </c>
      <c r="C138" s="4">
        <f>AMD[[#This Row],[Close]]</f>
        <v>28.43</v>
      </c>
      <c r="D138" s="4">
        <f>INTC[[#This Row],[Close]]</f>
        <v>48.759998000000003</v>
      </c>
      <c r="E138" s="4">
        <f>NVDA[[#This Row],[Close]]</f>
        <v>286.73001099999999</v>
      </c>
      <c r="F138" s="4">
        <f>QCOM[[#This Row],[Close]]</f>
        <v>72.639999000000003</v>
      </c>
    </row>
    <row r="139" spans="1:6" x14ac:dyDescent="0.25">
      <c r="A139" s="8">
        <v>43377</v>
      </c>
      <c r="B139" s="4">
        <f>AAPL[[#This Row],[Close]]</f>
        <v>227.990005</v>
      </c>
      <c r="C139" s="4">
        <f>AMD[[#This Row],[Close]]</f>
        <v>27.780000999999999</v>
      </c>
      <c r="D139" s="4">
        <f>INTC[[#This Row],[Close]]</f>
        <v>48.130001</v>
      </c>
      <c r="E139" s="4">
        <f>NVDA[[#This Row],[Close]]</f>
        <v>279.290009</v>
      </c>
      <c r="F139" s="4">
        <f>QCOM[[#This Row],[Close]]</f>
        <v>72.379997000000003</v>
      </c>
    </row>
    <row r="140" spans="1:6" x14ac:dyDescent="0.25">
      <c r="A140" s="8">
        <v>43378</v>
      </c>
      <c r="B140" s="4">
        <f>AAPL[[#This Row],[Close]]</f>
        <v>224.28999300000001</v>
      </c>
      <c r="C140" s="4">
        <f>AMD[[#This Row],[Close]]</f>
        <v>27.35</v>
      </c>
      <c r="D140" s="4">
        <f>INTC[[#This Row],[Close]]</f>
        <v>47.029998999999997</v>
      </c>
      <c r="E140" s="4">
        <f>NVDA[[#This Row],[Close]]</f>
        <v>269.85998499999999</v>
      </c>
      <c r="F140" s="4">
        <f>QCOM[[#This Row],[Close]]</f>
        <v>71.209998999999996</v>
      </c>
    </row>
    <row r="141" spans="1:6" x14ac:dyDescent="0.25">
      <c r="A141" s="8">
        <v>43381</v>
      </c>
      <c r="B141" s="4">
        <f>AAPL[[#This Row],[Close]]</f>
        <v>223.770004</v>
      </c>
      <c r="C141" s="4">
        <f>AMD[[#This Row],[Close]]</f>
        <v>26.459999</v>
      </c>
      <c r="D141" s="4">
        <f>INTC[[#This Row],[Close]]</f>
        <v>47.029998999999997</v>
      </c>
      <c r="E141" s="4">
        <f>NVDA[[#This Row],[Close]]</f>
        <v>265.76998900000001</v>
      </c>
      <c r="F141" s="4">
        <f>QCOM[[#This Row],[Close]]</f>
        <v>70.930000000000007</v>
      </c>
    </row>
    <row r="142" spans="1:6" x14ac:dyDescent="0.25">
      <c r="A142" s="8">
        <v>43382</v>
      </c>
      <c r="B142" s="4">
        <f>AAPL[[#This Row],[Close]]</f>
        <v>226.86999499999999</v>
      </c>
      <c r="C142" s="4">
        <f>AMD[[#This Row],[Close]]</f>
        <v>27.24</v>
      </c>
      <c r="D142" s="4">
        <f>INTC[[#This Row],[Close]]</f>
        <v>46.549999</v>
      </c>
      <c r="E142" s="4">
        <f>NVDA[[#This Row],[Close]]</f>
        <v>265.540009</v>
      </c>
      <c r="F142" s="4">
        <f>QCOM[[#This Row],[Close]]</f>
        <v>70.129997000000003</v>
      </c>
    </row>
    <row r="143" spans="1:6" x14ac:dyDescent="0.25">
      <c r="A143" s="8">
        <v>43383</v>
      </c>
      <c r="B143" s="4">
        <f>AAPL[[#This Row],[Close]]</f>
        <v>216.36000100000001</v>
      </c>
      <c r="C143" s="4">
        <f>AMD[[#This Row],[Close]]</f>
        <v>25</v>
      </c>
      <c r="D143" s="4">
        <f>INTC[[#This Row],[Close]]</f>
        <v>44.799999</v>
      </c>
      <c r="E143" s="4">
        <f>NVDA[[#This Row],[Close]]</f>
        <v>245.69000199999999</v>
      </c>
      <c r="F143" s="4">
        <f>QCOM[[#This Row],[Close]]</f>
        <v>66.730002999999996</v>
      </c>
    </row>
    <row r="144" spans="1:6" x14ac:dyDescent="0.25">
      <c r="A144" s="8">
        <v>43384</v>
      </c>
      <c r="B144" s="4">
        <f>AAPL[[#This Row],[Close]]</f>
        <v>214.449997</v>
      </c>
      <c r="C144" s="4">
        <f>AMD[[#This Row],[Close]]</f>
        <v>25.299999</v>
      </c>
      <c r="D144" s="4">
        <f>INTC[[#This Row],[Close]]</f>
        <v>44.23</v>
      </c>
      <c r="E144" s="4">
        <f>NVDA[[#This Row],[Close]]</f>
        <v>235.13000500000001</v>
      </c>
      <c r="F144" s="4">
        <f>QCOM[[#This Row],[Close]]</f>
        <v>64.290001000000004</v>
      </c>
    </row>
    <row r="145" spans="1:6" x14ac:dyDescent="0.25">
      <c r="A145" s="8">
        <v>43385</v>
      </c>
      <c r="B145" s="4">
        <f>AAPL[[#This Row],[Close]]</f>
        <v>222.11000100000001</v>
      </c>
      <c r="C145" s="4">
        <f>AMD[[#This Row],[Close]]</f>
        <v>26.34</v>
      </c>
      <c r="D145" s="4">
        <f>INTC[[#This Row],[Close]]</f>
        <v>44.880001</v>
      </c>
      <c r="E145" s="4">
        <f>NVDA[[#This Row],[Close]]</f>
        <v>246.53999300000001</v>
      </c>
      <c r="F145" s="4">
        <f>QCOM[[#This Row],[Close]]</f>
        <v>64.290001000000004</v>
      </c>
    </row>
    <row r="146" spans="1:6" x14ac:dyDescent="0.25">
      <c r="A146" s="8">
        <v>43388</v>
      </c>
      <c r="B146" s="4">
        <f>AAPL[[#This Row],[Close]]</f>
        <v>217.36000100000001</v>
      </c>
      <c r="C146" s="4">
        <f>AMD[[#This Row],[Close]]</f>
        <v>26.26</v>
      </c>
      <c r="D146" s="4">
        <f>INTC[[#This Row],[Close]]</f>
        <v>44.529998999999997</v>
      </c>
      <c r="E146" s="4">
        <f>NVDA[[#This Row],[Close]]</f>
        <v>235.38000500000001</v>
      </c>
      <c r="F146" s="4">
        <f>QCOM[[#This Row],[Close]]</f>
        <v>64.169998000000007</v>
      </c>
    </row>
    <row r="147" spans="1:6" x14ac:dyDescent="0.25">
      <c r="A147" s="8">
        <v>43389</v>
      </c>
      <c r="B147" s="4">
        <f>AAPL[[#This Row],[Close]]</f>
        <v>222.14999399999999</v>
      </c>
      <c r="C147" s="4">
        <f>AMD[[#This Row],[Close]]</f>
        <v>28.18</v>
      </c>
      <c r="D147" s="4">
        <f>INTC[[#This Row],[Close]]</f>
        <v>45.939999</v>
      </c>
      <c r="E147" s="4">
        <f>NVDA[[#This Row],[Close]]</f>
        <v>245.83000200000001</v>
      </c>
      <c r="F147" s="4">
        <f>QCOM[[#This Row],[Close]]</f>
        <v>66.120002999999997</v>
      </c>
    </row>
    <row r="148" spans="1:6" x14ac:dyDescent="0.25">
      <c r="A148" s="8">
        <v>43390</v>
      </c>
      <c r="B148" s="4">
        <f>AAPL[[#This Row],[Close]]</f>
        <v>221.19000199999999</v>
      </c>
      <c r="C148" s="4">
        <f>AMD[[#This Row],[Close]]</f>
        <v>27.299999</v>
      </c>
      <c r="D148" s="4">
        <f>INTC[[#This Row],[Close]]</f>
        <v>45.889999000000003</v>
      </c>
      <c r="E148" s="4">
        <f>NVDA[[#This Row],[Close]]</f>
        <v>243.05999800000001</v>
      </c>
      <c r="F148" s="4">
        <f>QCOM[[#This Row],[Close]]</f>
        <v>66.099997999999999</v>
      </c>
    </row>
    <row r="149" spans="1:6" x14ac:dyDescent="0.25">
      <c r="A149" s="8">
        <v>43391</v>
      </c>
      <c r="B149" s="4">
        <f>AAPL[[#This Row],[Close]]</f>
        <v>216.020004</v>
      </c>
      <c r="C149" s="4">
        <f>AMD[[#This Row],[Close]]</f>
        <v>26.620000999999998</v>
      </c>
      <c r="D149" s="4">
        <f>INTC[[#This Row],[Close]]</f>
        <v>44.970001000000003</v>
      </c>
      <c r="E149" s="4">
        <f>NVDA[[#This Row],[Close]]</f>
        <v>239.529999</v>
      </c>
      <c r="F149" s="4">
        <f>QCOM[[#This Row],[Close]]</f>
        <v>65.150002000000001</v>
      </c>
    </row>
    <row r="150" spans="1:6" x14ac:dyDescent="0.25">
      <c r="A150" s="8">
        <v>43392</v>
      </c>
      <c r="B150" s="4">
        <f>AAPL[[#This Row],[Close]]</f>
        <v>219.30999800000001</v>
      </c>
      <c r="C150" s="4">
        <f>AMD[[#This Row],[Close]]</f>
        <v>23.66</v>
      </c>
      <c r="D150" s="4">
        <f>INTC[[#This Row],[Close]]</f>
        <v>44</v>
      </c>
      <c r="E150" s="4">
        <f>NVDA[[#This Row],[Close]]</f>
        <v>229.16999799999999</v>
      </c>
      <c r="F150" s="4">
        <f>QCOM[[#This Row],[Close]]</f>
        <v>65.360000999999997</v>
      </c>
    </row>
    <row r="151" spans="1:6" x14ac:dyDescent="0.25">
      <c r="A151" s="8">
        <v>43395</v>
      </c>
      <c r="B151" s="4">
        <f>AAPL[[#This Row],[Close]]</f>
        <v>220.64999399999999</v>
      </c>
      <c r="C151" s="4">
        <f>AMD[[#This Row],[Close]]</f>
        <v>25.030000999999999</v>
      </c>
      <c r="D151" s="4">
        <f>INTC[[#This Row],[Close]]</f>
        <v>45.009998000000003</v>
      </c>
      <c r="E151" s="4">
        <f>NVDA[[#This Row],[Close]]</f>
        <v>231.220001</v>
      </c>
      <c r="F151" s="4">
        <f>QCOM[[#This Row],[Close]]</f>
        <v>66.120002999999997</v>
      </c>
    </row>
    <row r="152" spans="1:6" x14ac:dyDescent="0.25">
      <c r="A152" s="8">
        <v>43396</v>
      </c>
      <c r="B152" s="4">
        <f>AAPL[[#This Row],[Close]]</f>
        <v>222.729996</v>
      </c>
      <c r="C152" s="4">
        <f>AMD[[#This Row],[Close]]</f>
        <v>25.09</v>
      </c>
      <c r="D152" s="4">
        <f>INTC[[#This Row],[Close]]</f>
        <v>44.5</v>
      </c>
      <c r="E152" s="4">
        <f>NVDA[[#This Row],[Close]]</f>
        <v>221.05999800000001</v>
      </c>
      <c r="F152" s="4">
        <f>QCOM[[#This Row],[Close]]</f>
        <v>66.379997000000003</v>
      </c>
    </row>
    <row r="153" spans="1:6" x14ac:dyDescent="0.25">
      <c r="A153" s="8">
        <v>43397</v>
      </c>
      <c r="B153" s="4">
        <f>AAPL[[#This Row],[Close]]</f>
        <v>215.08999600000001</v>
      </c>
      <c r="C153" s="4">
        <f>AMD[[#This Row],[Close]]</f>
        <v>22.790001</v>
      </c>
      <c r="D153" s="4">
        <f>INTC[[#This Row],[Close]]</f>
        <v>42.419998</v>
      </c>
      <c r="E153" s="4">
        <f>NVDA[[#This Row],[Close]]</f>
        <v>199.41000399999999</v>
      </c>
      <c r="F153" s="4">
        <f>QCOM[[#This Row],[Close]]</f>
        <v>62.619999</v>
      </c>
    </row>
    <row r="154" spans="1:6" x14ac:dyDescent="0.25">
      <c r="A154" s="8">
        <v>43398</v>
      </c>
      <c r="B154" s="4">
        <f>AAPL[[#This Row],[Close]]</f>
        <v>219.800003</v>
      </c>
      <c r="C154" s="4">
        <f>AMD[[#This Row],[Close]]</f>
        <v>19.27</v>
      </c>
      <c r="D154" s="4">
        <f>INTC[[#This Row],[Close]]</f>
        <v>44.310001</v>
      </c>
      <c r="E154" s="4">
        <f>NVDA[[#This Row],[Close]]</f>
        <v>207.83999600000001</v>
      </c>
      <c r="F154" s="4">
        <f>QCOM[[#This Row],[Close]]</f>
        <v>63.200001</v>
      </c>
    </row>
    <row r="155" spans="1:6" x14ac:dyDescent="0.25">
      <c r="A155" s="8">
        <v>43399</v>
      </c>
      <c r="B155" s="4">
        <f>AAPL[[#This Row],[Close]]</f>
        <v>216.300003</v>
      </c>
      <c r="C155" s="4">
        <f>AMD[[#This Row],[Close]]</f>
        <v>17.629999000000002</v>
      </c>
      <c r="D155" s="4">
        <f>INTC[[#This Row],[Close]]</f>
        <v>45.689999</v>
      </c>
      <c r="E155" s="4">
        <f>NVDA[[#This Row],[Close]]</f>
        <v>198.28999300000001</v>
      </c>
      <c r="F155" s="4">
        <f>QCOM[[#This Row],[Close]]</f>
        <v>62.48</v>
      </c>
    </row>
    <row r="156" spans="1:6" x14ac:dyDescent="0.25">
      <c r="A156" s="8">
        <v>43402</v>
      </c>
      <c r="B156" s="4">
        <f>AAPL[[#This Row],[Close]]</f>
        <v>212.240005</v>
      </c>
      <c r="C156" s="4">
        <f>AMD[[#This Row],[Close]]</f>
        <v>16.850000000000001</v>
      </c>
      <c r="D156" s="4">
        <f>INTC[[#This Row],[Close]]</f>
        <v>45.400002000000001</v>
      </c>
      <c r="E156" s="4">
        <f>NVDA[[#This Row],[Close]]</f>
        <v>185.61999499999999</v>
      </c>
      <c r="F156" s="4">
        <f>QCOM[[#This Row],[Close]]</f>
        <v>62.169998</v>
      </c>
    </row>
    <row r="157" spans="1:6" x14ac:dyDescent="0.25">
      <c r="A157" s="8">
        <v>43403</v>
      </c>
      <c r="B157" s="4">
        <f>AAPL[[#This Row],[Close]]</f>
        <v>213.300003</v>
      </c>
      <c r="C157" s="4">
        <f>AMD[[#This Row],[Close]]</f>
        <v>17.200001</v>
      </c>
      <c r="D157" s="4">
        <f>INTC[[#This Row],[Close]]</f>
        <v>47.759998000000003</v>
      </c>
      <c r="E157" s="4">
        <f>NVDA[[#This Row],[Close]]</f>
        <v>203</v>
      </c>
      <c r="F157" s="4">
        <f>QCOM[[#This Row],[Close]]</f>
        <v>63.18</v>
      </c>
    </row>
    <row r="158" spans="1:6" x14ac:dyDescent="0.25">
      <c r="A158" s="8">
        <v>43404</v>
      </c>
      <c r="B158" s="4">
        <f>AAPL[[#This Row],[Close]]</f>
        <v>218.86000100000001</v>
      </c>
      <c r="C158" s="4">
        <f>AMD[[#This Row],[Close]]</f>
        <v>18.209999</v>
      </c>
      <c r="D158" s="4">
        <f>INTC[[#This Row],[Close]]</f>
        <v>46.880001</v>
      </c>
      <c r="E158" s="4">
        <f>NVDA[[#This Row],[Close]]</f>
        <v>210.83000200000001</v>
      </c>
      <c r="F158" s="4">
        <f>QCOM[[#This Row],[Close]]</f>
        <v>62.889999000000003</v>
      </c>
    </row>
    <row r="159" spans="1:6" x14ac:dyDescent="0.25">
      <c r="A159" s="8">
        <v>43405</v>
      </c>
      <c r="B159" s="4">
        <f>AAPL[[#This Row],[Close]]</f>
        <v>222.220001</v>
      </c>
      <c r="C159" s="4">
        <f>AMD[[#This Row],[Close]]</f>
        <v>20.219999000000001</v>
      </c>
      <c r="D159" s="4">
        <f>INTC[[#This Row],[Close]]</f>
        <v>48.220001000000003</v>
      </c>
      <c r="E159" s="4">
        <f>NVDA[[#This Row],[Close]]</f>
        <v>218.11000100000001</v>
      </c>
      <c r="F159" s="4">
        <f>QCOM[[#This Row],[Close]]</f>
        <v>63.709999000000003</v>
      </c>
    </row>
    <row r="160" spans="1:6" x14ac:dyDescent="0.25">
      <c r="A160" s="8">
        <v>43406</v>
      </c>
      <c r="B160" s="4">
        <f>AAPL[[#This Row],[Close]]</f>
        <v>207.479996</v>
      </c>
      <c r="C160" s="4">
        <f>AMD[[#This Row],[Close]]</f>
        <v>20.23</v>
      </c>
      <c r="D160" s="4">
        <f>INTC[[#This Row],[Close]]</f>
        <v>47.110000999999997</v>
      </c>
      <c r="E160" s="4">
        <f>NVDA[[#This Row],[Close]]</f>
        <v>214.91999799999999</v>
      </c>
      <c r="F160" s="4">
        <f>QCOM[[#This Row],[Close]]</f>
        <v>63.330002</v>
      </c>
    </row>
    <row r="161" spans="1:6" x14ac:dyDescent="0.25">
      <c r="A161" s="8">
        <v>43409</v>
      </c>
      <c r="B161" s="4">
        <f>AAPL[[#This Row],[Close]]</f>
        <v>201.58999600000001</v>
      </c>
      <c r="C161" s="4">
        <f>AMD[[#This Row],[Close]]</f>
        <v>19.899999999999999</v>
      </c>
      <c r="D161" s="4">
        <f>INTC[[#This Row],[Close]]</f>
        <v>47.970001000000003</v>
      </c>
      <c r="E161" s="4">
        <f>NVDA[[#This Row],[Close]]</f>
        <v>211.770004</v>
      </c>
      <c r="F161" s="4">
        <f>QCOM[[#This Row],[Close]]</f>
        <v>63.470001000000003</v>
      </c>
    </row>
    <row r="162" spans="1:6" x14ac:dyDescent="0.25">
      <c r="A162" s="8">
        <v>43410</v>
      </c>
      <c r="B162" s="4">
        <f>AAPL[[#This Row],[Close]]</f>
        <v>203.770004</v>
      </c>
      <c r="C162" s="4">
        <f>AMD[[#This Row],[Close]]</f>
        <v>20.68</v>
      </c>
      <c r="D162" s="4">
        <f>INTC[[#This Row],[Close]]</f>
        <v>47.25</v>
      </c>
      <c r="E162" s="4">
        <f>NVDA[[#This Row],[Close]]</f>
        <v>211.05999800000001</v>
      </c>
      <c r="F162" s="4">
        <f>QCOM[[#This Row],[Close]]</f>
        <v>63.630001</v>
      </c>
    </row>
    <row r="163" spans="1:6" x14ac:dyDescent="0.25">
      <c r="A163" s="8">
        <v>43411</v>
      </c>
      <c r="B163" s="4">
        <f>AAPL[[#This Row],[Close]]</f>
        <v>209.949997</v>
      </c>
      <c r="C163" s="4">
        <f>AMD[[#This Row],[Close]]</f>
        <v>21.84</v>
      </c>
      <c r="D163" s="4">
        <f>INTC[[#This Row],[Close]]</f>
        <v>48.720001000000003</v>
      </c>
      <c r="E163" s="4">
        <f>NVDA[[#This Row],[Close]]</f>
        <v>213.78999300000001</v>
      </c>
      <c r="F163" s="4">
        <f>QCOM[[#This Row],[Close]]</f>
        <v>63.209999000000003</v>
      </c>
    </row>
    <row r="164" spans="1:6" x14ac:dyDescent="0.25">
      <c r="A164" s="8">
        <v>43412</v>
      </c>
      <c r="B164" s="4">
        <f>AAPL[[#This Row],[Close]]</f>
        <v>208.490005</v>
      </c>
      <c r="C164" s="4">
        <f>AMD[[#This Row],[Close]]</f>
        <v>21.200001</v>
      </c>
      <c r="D164" s="4">
        <f>INTC[[#This Row],[Close]]</f>
        <v>48.990001999999997</v>
      </c>
      <c r="E164" s="4">
        <f>NVDA[[#This Row],[Close]]</f>
        <v>205.990005</v>
      </c>
      <c r="F164" s="4">
        <f>QCOM[[#This Row],[Close]]</f>
        <v>58.049999</v>
      </c>
    </row>
    <row r="165" spans="1:6" x14ac:dyDescent="0.25">
      <c r="A165" s="8">
        <v>43413</v>
      </c>
      <c r="B165" s="4">
        <f>AAPL[[#This Row],[Close]]</f>
        <v>204.470001</v>
      </c>
      <c r="C165" s="4">
        <f>AMD[[#This Row],[Close]]</f>
        <v>21.030000999999999</v>
      </c>
      <c r="D165" s="4">
        <f>INTC[[#This Row],[Close]]</f>
        <v>48.110000999999997</v>
      </c>
      <c r="E165" s="4">
        <f>NVDA[[#This Row],[Close]]</f>
        <v>205.66999799999999</v>
      </c>
      <c r="F165" s="4">
        <f>QCOM[[#This Row],[Close]]</f>
        <v>56.720001000000003</v>
      </c>
    </row>
    <row r="166" spans="1:6" x14ac:dyDescent="0.25">
      <c r="A166" s="8">
        <v>43416</v>
      </c>
      <c r="B166" s="4">
        <f>AAPL[[#This Row],[Close]]</f>
        <v>194.16999799999999</v>
      </c>
      <c r="C166" s="4">
        <f>AMD[[#This Row],[Close]]</f>
        <v>19.030000999999999</v>
      </c>
      <c r="D166" s="4">
        <f>INTC[[#This Row],[Close]]</f>
        <v>46.650002000000001</v>
      </c>
      <c r="E166" s="4">
        <f>NVDA[[#This Row],[Close]]</f>
        <v>189.53999300000001</v>
      </c>
      <c r="F166" s="4">
        <f>QCOM[[#This Row],[Close]]</f>
        <v>54.490001999999997</v>
      </c>
    </row>
    <row r="167" spans="1:6" x14ac:dyDescent="0.25">
      <c r="A167" s="8">
        <v>43417</v>
      </c>
      <c r="B167" s="4">
        <f>AAPL[[#This Row],[Close]]</f>
        <v>192.229996</v>
      </c>
      <c r="C167" s="4">
        <f>AMD[[#This Row],[Close]]</f>
        <v>19.610001</v>
      </c>
      <c r="D167" s="4">
        <f>INTC[[#This Row],[Close]]</f>
        <v>47.389999000000003</v>
      </c>
      <c r="E167" s="4">
        <f>NVDA[[#This Row],[Close]]</f>
        <v>199.30999800000001</v>
      </c>
      <c r="F167" s="4">
        <f>QCOM[[#This Row],[Close]]</f>
        <v>54.16</v>
      </c>
    </row>
    <row r="168" spans="1:6" x14ac:dyDescent="0.25">
      <c r="A168" s="8">
        <v>43418</v>
      </c>
      <c r="B168" s="4">
        <f>AAPL[[#This Row],[Close]]</f>
        <v>186.800003</v>
      </c>
      <c r="C168" s="4">
        <f>AMD[[#This Row],[Close]]</f>
        <v>20.809999000000001</v>
      </c>
      <c r="D168" s="4">
        <f>INTC[[#This Row],[Close]]</f>
        <v>47.09</v>
      </c>
      <c r="E168" s="4">
        <f>NVDA[[#This Row],[Close]]</f>
        <v>197.19000199999999</v>
      </c>
      <c r="F168" s="4">
        <f>QCOM[[#This Row],[Close]]</f>
        <v>53.939999</v>
      </c>
    </row>
    <row r="169" spans="1:6" x14ac:dyDescent="0.25">
      <c r="A169" s="8">
        <v>43419</v>
      </c>
      <c r="B169" s="4">
        <f>AAPL[[#This Row],[Close]]</f>
        <v>191.41000399999999</v>
      </c>
      <c r="C169" s="4">
        <f>AMD[[#This Row],[Close]]</f>
        <v>21.49</v>
      </c>
      <c r="D169" s="4">
        <f>INTC[[#This Row],[Close]]</f>
        <v>48.110000999999997</v>
      </c>
      <c r="E169" s="4">
        <f>NVDA[[#This Row],[Close]]</f>
        <v>202.38999899999999</v>
      </c>
      <c r="F169" s="4">
        <f>QCOM[[#This Row],[Close]]</f>
        <v>55.389999000000003</v>
      </c>
    </row>
    <row r="170" spans="1:6" x14ac:dyDescent="0.25">
      <c r="A170" s="8">
        <v>43420</v>
      </c>
      <c r="B170" s="4">
        <f>AAPL[[#This Row],[Close]]</f>
        <v>193.529999</v>
      </c>
      <c r="C170" s="4">
        <f>AMD[[#This Row],[Close]]</f>
        <v>20.66</v>
      </c>
      <c r="D170" s="4">
        <f>INTC[[#This Row],[Close]]</f>
        <v>48.830002</v>
      </c>
      <c r="E170" s="4">
        <f>NVDA[[#This Row],[Close]]</f>
        <v>164.429993</v>
      </c>
      <c r="F170" s="4">
        <f>QCOM[[#This Row],[Close]]</f>
        <v>55.880001</v>
      </c>
    </row>
    <row r="171" spans="1:6" x14ac:dyDescent="0.25">
      <c r="A171" s="8">
        <v>43423</v>
      </c>
      <c r="B171" s="4">
        <f>AAPL[[#This Row],[Close]]</f>
        <v>185.86000100000001</v>
      </c>
      <c r="C171" s="4">
        <f>AMD[[#This Row],[Close]]</f>
        <v>19.110001</v>
      </c>
      <c r="D171" s="4">
        <f>INTC[[#This Row],[Close]]</f>
        <v>48</v>
      </c>
      <c r="E171" s="4">
        <f>NVDA[[#This Row],[Close]]</f>
        <v>144.699997</v>
      </c>
      <c r="F171" s="4">
        <f>QCOM[[#This Row],[Close]]</f>
        <v>54.900002000000001</v>
      </c>
    </row>
    <row r="172" spans="1:6" x14ac:dyDescent="0.25">
      <c r="A172" s="8">
        <v>43424</v>
      </c>
      <c r="B172" s="4">
        <f>AAPL[[#This Row],[Close]]</f>
        <v>176.979996</v>
      </c>
      <c r="C172" s="4">
        <f>AMD[[#This Row],[Close]]</f>
        <v>19.209999</v>
      </c>
      <c r="D172" s="4">
        <f>INTC[[#This Row],[Close]]</f>
        <v>47.389999000000003</v>
      </c>
      <c r="E172" s="4">
        <f>NVDA[[#This Row],[Close]]</f>
        <v>149.08000200000001</v>
      </c>
      <c r="F172" s="4">
        <f>QCOM[[#This Row],[Close]]</f>
        <v>54.919998</v>
      </c>
    </row>
    <row r="173" spans="1:6" x14ac:dyDescent="0.25">
      <c r="A173" s="8">
        <v>43425</v>
      </c>
      <c r="B173" s="4">
        <f>AAPL[[#This Row],[Close]]</f>
        <v>176.779999</v>
      </c>
      <c r="C173" s="4">
        <f>AMD[[#This Row],[Close]]</f>
        <v>18.73</v>
      </c>
      <c r="D173" s="4">
        <f>INTC[[#This Row],[Close]]</f>
        <v>47.029998999999997</v>
      </c>
      <c r="E173" s="4">
        <f>NVDA[[#This Row],[Close]]</f>
        <v>144.71000699999999</v>
      </c>
      <c r="F173" s="4">
        <f>QCOM[[#This Row],[Close]]</f>
        <v>55.27</v>
      </c>
    </row>
    <row r="174" spans="1:6" x14ac:dyDescent="0.25">
      <c r="A174" s="8">
        <v>43427</v>
      </c>
      <c r="B174" s="4">
        <f>AAPL[[#This Row],[Close]]</f>
        <v>172.28999300000001</v>
      </c>
      <c r="C174" s="4">
        <f>AMD[[#This Row],[Close]]</f>
        <v>19.379999000000002</v>
      </c>
      <c r="D174" s="4">
        <f>INTC[[#This Row],[Close]]</f>
        <v>46.540000999999997</v>
      </c>
      <c r="E174" s="4">
        <f>NVDA[[#This Row],[Close]]</f>
        <v>145</v>
      </c>
      <c r="F174" s="4">
        <f>QCOM[[#This Row],[Close]]</f>
        <v>55.25</v>
      </c>
    </row>
    <row r="175" spans="1:6" x14ac:dyDescent="0.25">
      <c r="A175" s="8">
        <v>43430</v>
      </c>
      <c r="B175" s="4">
        <f>AAPL[[#This Row],[Close]]</f>
        <v>174.61999499999999</v>
      </c>
      <c r="C175" s="4">
        <f>AMD[[#This Row],[Close]]</f>
        <v>20.079999999999998</v>
      </c>
      <c r="D175" s="4">
        <f>INTC[[#This Row],[Close]]</f>
        <v>47.450001</v>
      </c>
      <c r="E175" s="4">
        <f>NVDA[[#This Row],[Close]]</f>
        <v>153.050003</v>
      </c>
      <c r="F175" s="4">
        <f>QCOM[[#This Row],[Close]]</f>
        <v>55.73</v>
      </c>
    </row>
    <row r="176" spans="1:6" x14ac:dyDescent="0.25">
      <c r="A176" s="8">
        <v>43431</v>
      </c>
      <c r="B176" s="4">
        <f>AAPL[[#This Row],[Close]]</f>
        <v>174.240005</v>
      </c>
      <c r="C176" s="4">
        <f>AMD[[#This Row],[Close]]</f>
        <v>21.049999</v>
      </c>
      <c r="D176" s="4">
        <f>INTC[[#This Row],[Close]]</f>
        <v>48.07</v>
      </c>
      <c r="E176" s="4">
        <f>NVDA[[#This Row],[Close]]</f>
        <v>153.729996</v>
      </c>
      <c r="F176" s="4">
        <f>QCOM[[#This Row],[Close]]</f>
        <v>55.57</v>
      </c>
    </row>
    <row r="177" spans="1:6" x14ac:dyDescent="0.25">
      <c r="A177" s="8">
        <v>43432</v>
      </c>
      <c r="B177" s="4">
        <f>AAPL[[#This Row],[Close]]</f>
        <v>180.94000199999999</v>
      </c>
      <c r="C177" s="4">
        <f>AMD[[#This Row],[Close]]</f>
        <v>21.34</v>
      </c>
      <c r="D177" s="4">
        <f>INTC[[#This Row],[Close]]</f>
        <v>48.860000999999997</v>
      </c>
      <c r="E177" s="4">
        <f>NVDA[[#This Row],[Close]]</f>
        <v>160.070007</v>
      </c>
      <c r="F177" s="4">
        <f>QCOM[[#This Row],[Close]]</f>
        <v>56.650002000000001</v>
      </c>
    </row>
    <row r="178" spans="1:6" x14ac:dyDescent="0.25">
      <c r="A178" s="8">
        <v>43433</v>
      </c>
      <c r="B178" s="4">
        <f>AAPL[[#This Row],[Close]]</f>
        <v>179.550003</v>
      </c>
      <c r="C178" s="4">
        <f>AMD[[#This Row],[Close]]</f>
        <v>21.43</v>
      </c>
      <c r="D178" s="4">
        <f>INTC[[#This Row],[Close]]</f>
        <v>47.700001</v>
      </c>
      <c r="E178" s="4">
        <f>NVDA[[#This Row],[Close]]</f>
        <v>157.36000100000001</v>
      </c>
      <c r="F178" s="4">
        <f>QCOM[[#This Row],[Close]]</f>
        <v>58.110000999999997</v>
      </c>
    </row>
    <row r="179" spans="1:6" x14ac:dyDescent="0.25">
      <c r="A179" s="8">
        <v>43434</v>
      </c>
      <c r="B179" s="4">
        <f>AAPL[[#This Row],[Close]]</f>
        <v>178.58000200000001</v>
      </c>
      <c r="C179" s="4">
        <f>AMD[[#This Row],[Close]]</f>
        <v>21.299999</v>
      </c>
      <c r="D179" s="4">
        <f>INTC[[#This Row],[Close]]</f>
        <v>49.310001</v>
      </c>
      <c r="E179" s="4">
        <f>NVDA[[#This Row],[Close]]</f>
        <v>163.429993</v>
      </c>
      <c r="F179" s="4">
        <f>QCOM[[#This Row],[Close]]</f>
        <v>58.259998000000003</v>
      </c>
    </row>
    <row r="180" spans="1:6" x14ac:dyDescent="0.25">
      <c r="A180" s="8">
        <v>43437</v>
      </c>
      <c r="B180" s="4">
        <f>AAPL[[#This Row],[Close]]</f>
        <v>184.820007</v>
      </c>
      <c r="C180" s="4">
        <f>AMD[[#This Row],[Close]]</f>
        <v>23.709999</v>
      </c>
      <c r="D180" s="4">
        <f>INTC[[#This Row],[Close]]</f>
        <v>50.130001</v>
      </c>
      <c r="E180" s="4">
        <f>NVDA[[#This Row],[Close]]</f>
        <v>170.03999300000001</v>
      </c>
      <c r="F180" s="4">
        <f>QCOM[[#This Row],[Close]]</f>
        <v>59.139999000000003</v>
      </c>
    </row>
    <row r="181" spans="1:6" x14ac:dyDescent="0.25">
      <c r="A181" s="8">
        <v>43438</v>
      </c>
      <c r="B181" s="4">
        <f>AAPL[[#This Row],[Close]]</f>
        <v>176.69000199999999</v>
      </c>
      <c r="C181" s="4">
        <f>AMD[[#This Row],[Close]]</f>
        <v>21.120000999999998</v>
      </c>
      <c r="D181" s="4">
        <f>INTC[[#This Row],[Close]]</f>
        <v>47.75</v>
      </c>
      <c r="E181" s="4">
        <f>NVDA[[#This Row],[Close]]</f>
        <v>157.11000100000001</v>
      </c>
      <c r="F181" s="4">
        <f>QCOM[[#This Row],[Close]]</f>
        <v>57.73</v>
      </c>
    </row>
    <row r="182" spans="1:6" x14ac:dyDescent="0.25">
      <c r="A182" s="8">
        <v>43440</v>
      </c>
      <c r="B182" s="4">
        <f>AAPL[[#This Row],[Close]]</f>
        <v>174.720001</v>
      </c>
      <c r="C182" s="4">
        <f>AMD[[#This Row],[Close]]</f>
        <v>21.299999</v>
      </c>
      <c r="D182" s="4">
        <f>INTC[[#This Row],[Close]]</f>
        <v>48.369999</v>
      </c>
      <c r="E182" s="4">
        <f>NVDA[[#This Row],[Close]]</f>
        <v>158.28999300000001</v>
      </c>
      <c r="F182" s="4">
        <f>QCOM[[#This Row],[Close]]</f>
        <v>57.110000999999997</v>
      </c>
    </row>
    <row r="183" spans="1:6" x14ac:dyDescent="0.25">
      <c r="A183" s="8">
        <v>43441</v>
      </c>
      <c r="B183" s="4">
        <f>AAPL[[#This Row],[Close]]</f>
        <v>168.490005</v>
      </c>
      <c r="C183" s="4">
        <f>AMD[[#This Row],[Close]]</f>
        <v>19.459999</v>
      </c>
      <c r="D183" s="4">
        <f>INTC[[#This Row],[Close]]</f>
        <v>46.240001999999997</v>
      </c>
      <c r="E183" s="4">
        <f>NVDA[[#This Row],[Close]]</f>
        <v>147.61000100000001</v>
      </c>
      <c r="F183" s="4">
        <f>QCOM[[#This Row],[Close]]</f>
        <v>55.990001999999997</v>
      </c>
    </row>
    <row r="184" spans="1:6" x14ac:dyDescent="0.25">
      <c r="A184" s="8">
        <v>43444</v>
      </c>
      <c r="B184" s="4">
        <f>AAPL[[#This Row],[Close]]</f>
        <v>169.60000600000001</v>
      </c>
      <c r="C184" s="4">
        <f>AMD[[#This Row],[Close]]</f>
        <v>19.989999999999998</v>
      </c>
      <c r="D184" s="4">
        <f>INTC[[#This Row],[Close]]</f>
        <v>47.209999000000003</v>
      </c>
      <c r="E184" s="4">
        <f>NVDA[[#This Row],[Close]]</f>
        <v>151.86000100000001</v>
      </c>
      <c r="F184" s="4">
        <f>QCOM[[#This Row],[Close]]</f>
        <v>57.240001999999997</v>
      </c>
    </row>
    <row r="185" spans="1:6" x14ac:dyDescent="0.25">
      <c r="A185" s="8">
        <v>43445</v>
      </c>
      <c r="B185" s="4">
        <f>AAPL[[#This Row],[Close]]</f>
        <v>168.63000500000001</v>
      </c>
      <c r="C185" s="4">
        <f>AMD[[#This Row],[Close]]</f>
        <v>19.98</v>
      </c>
      <c r="D185" s="4">
        <f>INTC[[#This Row],[Close]]</f>
        <v>47.380001</v>
      </c>
      <c r="E185" s="4">
        <f>NVDA[[#This Row],[Close]]</f>
        <v>148.19000199999999</v>
      </c>
      <c r="F185" s="4">
        <f>QCOM[[#This Row],[Close]]</f>
        <v>57.349997999999999</v>
      </c>
    </row>
    <row r="186" spans="1:6" x14ac:dyDescent="0.25">
      <c r="A186" s="8">
        <v>43446</v>
      </c>
      <c r="B186" s="4">
        <f>AAPL[[#This Row],[Close]]</f>
        <v>169.10000600000001</v>
      </c>
      <c r="C186" s="4">
        <f>AMD[[#This Row],[Close]]</f>
        <v>20.48</v>
      </c>
      <c r="D186" s="4">
        <f>INTC[[#This Row],[Close]]</f>
        <v>47.830002</v>
      </c>
      <c r="E186" s="4">
        <f>NVDA[[#This Row],[Close]]</f>
        <v>148.89999399999999</v>
      </c>
      <c r="F186" s="4">
        <f>QCOM[[#This Row],[Close]]</f>
        <v>57.720001000000003</v>
      </c>
    </row>
    <row r="187" spans="1:6" x14ac:dyDescent="0.25">
      <c r="A187" s="8">
        <v>43447</v>
      </c>
      <c r="B187" s="4">
        <f>AAPL[[#This Row],[Close]]</f>
        <v>170.949997</v>
      </c>
      <c r="C187" s="4">
        <f>AMD[[#This Row],[Close]]</f>
        <v>19.860001</v>
      </c>
      <c r="D187" s="4">
        <f>INTC[[#This Row],[Close]]</f>
        <v>48.290000999999997</v>
      </c>
      <c r="E187" s="4">
        <f>NVDA[[#This Row],[Close]]</f>
        <v>148.88999899999999</v>
      </c>
      <c r="F187" s="4">
        <f>QCOM[[#This Row],[Close]]</f>
        <v>58.09</v>
      </c>
    </row>
    <row r="188" spans="1:6" x14ac:dyDescent="0.25">
      <c r="A188" s="8">
        <v>43448</v>
      </c>
      <c r="B188" s="4">
        <f>AAPL[[#This Row],[Close]]</f>
        <v>165.479996</v>
      </c>
      <c r="C188" s="4">
        <f>AMD[[#This Row],[Close]]</f>
        <v>19.899999999999999</v>
      </c>
      <c r="D188" s="4">
        <f>INTC[[#This Row],[Close]]</f>
        <v>47.860000999999997</v>
      </c>
      <c r="E188" s="4">
        <f>NVDA[[#This Row],[Close]]</f>
        <v>146.449997</v>
      </c>
      <c r="F188" s="4">
        <f>QCOM[[#This Row],[Close]]</f>
        <v>57.619999</v>
      </c>
    </row>
    <row r="189" spans="1:6" x14ac:dyDescent="0.25">
      <c r="A189" s="8">
        <v>43451</v>
      </c>
      <c r="B189" s="4">
        <f>AAPL[[#This Row],[Close]]</f>
        <v>163.94000199999999</v>
      </c>
      <c r="C189" s="4">
        <f>AMD[[#This Row],[Close]]</f>
        <v>18.829999999999998</v>
      </c>
      <c r="D189" s="4">
        <f>INTC[[#This Row],[Close]]</f>
        <v>47.080002</v>
      </c>
      <c r="E189" s="4">
        <f>NVDA[[#This Row],[Close]]</f>
        <v>143.58000200000001</v>
      </c>
      <c r="F189" s="4">
        <f>QCOM[[#This Row],[Close]]</f>
        <v>57</v>
      </c>
    </row>
    <row r="190" spans="1:6" x14ac:dyDescent="0.25">
      <c r="A190" s="8">
        <v>43452</v>
      </c>
      <c r="B190" s="4">
        <f>AAPL[[#This Row],[Close]]</f>
        <v>166.070007</v>
      </c>
      <c r="C190" s="4">
        <f>AMD[[#This Row],[Close]]</f>
        <v>19.5</v>
      </c>
      <c r="D190" s="4">
        <f>INTC[[#This Row],[Close]]</f>
        <v>47.740001999999997</v>
      </c>
      <c r="E190" s="4">
        <f>NVDA[[#This Row],[Close]]</f>
        <v>146.94000199999999</v>
      </c>
      <c r="F190" s="4">
        <f>QCOM[[#This Row],[Close]]</f>
        <v>57.779998999999997</v>
      </c>
    </row>
    <row r="191" spans="1:6" x14ac:dyDescent="0.25">
      <c r="A191" s="8">
        <v>43453</v>
      </c>
      <c r="B191" s="4">
        <f>AAPL[[#This Row],[Close]]</f>
        <v>160.88999899999999</v>
      </c>
      <c r="C191" s="4">
        <f>AMD[[#This Row],[Close]]</f>
        <v>18.16</v>
      </c>
      <c r="D191" s="4">
        <f>INTC[[#This Row],[Close]]</f>
        <v>45.57</v>
      </c>
      <c r="E191" s="4">
        <f>NVDA[[#This Row],[Close]]</f>
        <v>138.509995</v>
      </c>
      <c r="F191" s="4">
        <f>QCOM[[#This Row],[Close]]</f>
        <v>56.689999</v>
      </c>
    </row>
    <row r="192" spans="1:6" x14ac:dyDescent="0.25">
      <c r="A192" s="8">
        <v>43454</v>
      </c>
      <c r="B192" s="4">
        <f>AAPL[[#This Row],[Close]]</f>
        <v>156.83000200000001</v>
      </c>
      <c r="C192" s="4">
        <f>AMD[[#This Row],[Close]]</f>
        <v>17.940000999999999</v>
      </c>
      <c r="D192" s="4">
        <f>INTC[[#This Row],[Close]]</f>
        <v>45.540000999999997</v>
      </c>
      <c r="E192" s="4">
        <f>NVDA[[#This Row],[Close]]</f>
        <v>135.10000600000001</v>
      </c>
      <c r="F192" s="4">
        <f>QCOM[[#This Row],[Close]]</f>
        <v>56.369999</v>
      </c>
    </row>
    <row r="193" spans="1:6" x14ac:dyDescent="0.25">
      <c r="A193" s="8">
        <v>43455</v>
      </c>
      <c r="B193" s="4">
        <f>AAPL[[#This Row],[Close]]</f>
        <v>150.729996</v>
      </c>
      <c r="C193" s="4">
        <f>AMD[[#This Row],[Close]]</f>
        <v>16.93</v>
      </c>
      <c r="D193" s="4">
        <f>INTC[[#This Row],[Close]]</f>
        <v>44.84</v>
      </c>
      <c r="E193" s="4">
        <f>NVDA[[#This Row],[Close]]</f>
        <v>129.570007</v>
      </c>
      <c r="F193" s="4">
        <f>QCOM[[#This Row],[Close]]</f>
        <v>54.849997999999999</v>
      </c>
    </row>
    <row r="194" spans="1:6" x14ac:dyDescent="0.25">
      <c r="A194" s="8">
        <v>43458</v>
      </c>
      <c r="B194" s="4">
        <f>AAPL[[#This Row],[Close]]</f>
        <v>146.83000200000001</v>
      </c>
      <c r="C194" s="4">
        <f>AMD[[#This Row],[Close]]</f>
        <v>16.649999999999999</v>
      </c>
      <c r="D194" s="4">
        <f>INTC[[#This Row],[Close]]</f>
        <v>43.59</v>
      </c>
      <c r="E194" s="4">
        <f>NVDA[[#This Row],[Close]]</f>
        <v>127.08000199999999</v>
      </c>
      <c r="F194" s="4">
        <f>QCOM[[#This Row],[Close]]</f>
        <v>53.650002000000001</v>
      </c>
    </row>
    <row r="195" spans="1:6" x14ac:dyDescent="0.25">
      <c r="A195" s="8">
        <v>43460</v>
      </c>
      <c r="B195" s="4">
        <f>AAPL[[#This Row],[Close]]</f>
        <v>157.16999799999999</v>
      </c>
      <c r="C195" s="4">
        <f>AMD[[#This Row],[Close]]</f>
        <v>17.899999999999999</v>
      </c>
      <c r="D195" s="4">
        <f>INTC[[#This Row],[Close]]</f>
        <v>46.189999</v>
      </c>
      <c r="E195" s="4">
        <f>NVDA[[#This Row],[Close]]</f>
        <v>133.10000600000001</v>
      </c>
      <c r="F195" s="4">
        <f>QCOM[[#This Row],[Close]]</f>
        <v>55.959999000000003</v>
      </c>
    </row>
    <row r="196" spans="1:6" x14ac:dyDescent="0.25">
      <c r="A196" s="8">
        <v>43461</v>
      </c>
      <c r="B196" s="4">
        <f>AAPL[[#This Row],[Close]]</f>
        <v>156.14999399999999</v>
      </c>
      <c r="C196" s="4">
        <f>AMD[[#This Row],[Close]]</f>
        <v>17.489999999999998</v>
      </c>
      <c r="D196" s="4">
        <f>INTC[[#This Row],[Close]]</f>
        <v>46.360000999999997</v>
      </c>
      <c r="E196" s="4">
        <f>NVDA[[#This Row],[Close]]</f>
        <v>131.16999799999999</v>
      </c>
      <c r="F196" s="4">
        <f>QCOM[[#This Row],[Close]]</f>
        <v>56.09</v>
      </c>
    </row>
    <row r="197" spans="1:6" x14ac:dyDescent="0.25">
      <c r="A197" s="8">
        <v>43462</v>
      </c>
      <c r="B197" s="4">
        <f>AAPL[[#This Row],[Close]]</f>
        <v>156.229996</v>
      </c>
      <c r="C197" s="4">
        <f>AMD[[#This Row],[Close]]</f>
        <v>17.82</v>
      </c>
      <c r="D197" s="4">
        <f>INTC[[#This Row],[Close]]</f>
        <v>46.75</v>
      </c>
      <c r="E197" s="4">
        <f>NVDA[[#This Row],[Close]]</f>
        <v>133.64999399999999</v>
      </c>
      <c r="F197" s="4">
        <f>QCOM[[#This Row],[Close]]</f>
        <v>56.810001</v>
      </c>
    </row>
    <row r="198" spans="1:6" x14ac:dyDescent="0.25">
      <c r="A198" s="8">
        <v>43465</v>
      </c>
      <c r="B198" s="4">
        <f>AAPL[[#This Row],[Close]]</f>
        <v>157.740005</v>
      </c>
      <c r="C198" s="4">
        <f>AMD[[#This Row],[Close]]</f>
        <v>18.459999</v>
      </c>
      <c r="D198" s="4">
        <f>INTC[[#This Row],[Close]]</f>
        <v>46.93</v>
      </c>
      <c r="E198" s="4">
        <f>NVDA[[#This Row],[Close]]</f>
        <v>133.5</v>
      </c>
      <c r="F198" s="4">
        <f>QCOM[[#This Row],[Close]]</f>
        <v>56.91</v>
      </c>
    </row>
    <row r="199" spans="1:6" x14ac:dyDescent="0.25">
      <c r="A199" s="8">
        <v>43467</v>
      </c>
      <c r="B199" s="4">
        <f>AAPL[[#This Row],[Close]]</f>
        <v>157.91999799999999</v>
      </c>
      <c r="C199" s="4">
        <f>AMD[[#This Row],[Close]]</f>
        <v>18.829999999999998</v>
      </c>
      <c r="D199" s="4">
        <f>INTC[[#This Row],[Close]]</f>
        <v>47.080002</v>
      </c>
      <c r="E199" s="4">
        <f>NVDA[[#This Row],[Close]]</f>
        <v>136.220001</v>
      </c>
      <c r="F199" s="4">
        <f>QCOM[[#This Row],[Close]]</f>
        <v>57.400002000000001</v>
      </c>
    </row>
    <row r="200" spans="1:6" x14ac:dyDescent="0.25">
      <c r="A200" s="8">
        <v>43468</v>
      </c>
      <c r="B200" s="4">
        <f>AAPL[[#This Row],[Close]]</f>
        <v>142.19000199999999</v>
      </c>
      <c r="C200" s="4">
        <f>AMD[[#This Row],[Close]]</f>
        <v>17.049999</v>
      </c>
      <c r="D200" s="4">
        <f>INTC[[#This Row],[Close]]</f>
        <v>44.490001999999997</v>
      </c>
      <c r="E200" s="4">
        <f>NVDA[[#This Row],[Close]]</f>
        <v>127.989998</v>
      </c>
      <c r="F200" s="4">
        <f>QCOM[[#This Row],[Close]]</f>
        <v>55.700001</v>
      </c>
    </row>
    <row r="201" spans="1:6" x14ac:dyDescent="0.25">
      <c r="A201" s="8">
        <v>43469</v>
      </c>
      <c r="B201" s="4">
        <f>AAPL[[#This Row],[Close]]</f>
        <v>148.259995</v>
      </c>
      <c r="C201" s="4">
        <f>AMD[[#This Row],[Close]]</f>
        <v>19</v>
      </c>
      <c r="D201" s="4">
        <f>INTC[[#This Row],[Close]]</f>
        <v>47.220001000000003</v>
      </c>
      <c r="E201" s="4">
        <f>NVDA[[#This Row],[Close]]</f>
        <v>136.19000199999999</v>
      </c>
      <c r="F201" s="4">
        <f>QCOM[[#This Row],[Close]]</f>
        <v>56.599997999999999</v>
      </c>
    </row>
    <row r="202" spans="1:6" x14ac:dyDescent="0.25">
      <c r="A202" s="8">
        <v>43472</v>
      </c>
      <c r="B202" s="4">
        <f>AAPL[[#This Row],[Close]]</f>
        <v>147.929993</v>
      </c>
      <c r="C202" s="4">
        <f>AMD[[#This Row],[Close]]</f>
        <v>20.57</v>
      </c>
      <c r="D202" s="4">
        <f>INTC[[#This Row],[Close]]</f>
        <v>47.439999</v>
      </c>
      <c r="E202" s="4">
        <f>NVDA[[#This Row],[Close]]</f>
        <v>143.39999399999999</v>
      </c>
      <c r="F202" s="4">
        <f>QCOM[[#This Row],[Close]]</f>
        <v>56.439999</v>
      </c>
    </row>
    <row r="203" spans="1:6" x14ac:dyDescent="0.25">
      <c r="A203" s="8">
        <v>43473</v>
      </c>
      <c r="B203" s="4">
        <f>AAPL[[#This Row],[Close]]</f>
        <v>150.75</v>
      </c>
      <c r="C203" s="4">
        <f>AMD[[#This Row],[Close]]</f>
        <v>20.75</v>
      </c>
      <c r="D203" s="4">
        <f>INTC[[#This Row],[Close]]</f>
        <v>47.740001999999997</v>
      </c>
      <c r="E203" s="4">
        <f>NVDA[[#This Row],[Close]]</f>
        <v>139.83000200000001</v>
      </c>
      <c r="F203" s="4">
        <f>QCOM[[#This Row],[Close]]</f>
        <v>55.950001</v>
      </c>
    </row>
    <row r="204" spans="1:6" x14ac:dyDescent="0.25">
      <c r="A204" s="8">
        <v>43474</v>
      </c>
      <c r="B204" s="4">
        <f>AAPL[[#This Row],[Close]]</f>
        <v>153.30999800000001</v>
      </c>
      <c r="C204" s="4">
        <f>AMD[[#This Row],[Close]]</f>
        <v>20.190000999999999</v>
      </c>
      <c r="D204" s="4">
        <f>INTC[[#This Row],[Close]]</f>
        <v>48.009998000000003</v>
      </c>
      <c r="E204" s="4">
        <f>NVDA[[#This Row],[Close]]</f>
        <v>142.58000200000001</v>
      </c>
      <c r="F204" s="4">
        <f>QCOM[[#This Row],[Close]]</f>
        <v>56.610000999999997</v>
      </c>
    </row>
    <row r="205" spans="1:6" x14ac:dyDescent="0.25">
      <c r="A205" s="8">
        <v>43475</v>
      </c>
      <c r="B205" s="4">
        <f>AAPL[[#This Row],[Close]]</f>
        <v>153.800003</v>
      </c>
      <c r="C205" s="4">
        <f>AMD[[#This Row],[Close]]</f>
        <v>19.739999999999998</v>
      </c>
      <c r="D205" s="4">
        <f>INTC[[#This Row],[Close]]</f>
        <v>48.560001</v>
      </c>
      <c r="E205" s="4">
        <f>NVDA[[#This Row],[Close]]</f>
        <v>145.229996</v>
      </c>
      <c r="F205" s="4">
        <f>QCOM[[#This Row],[Close]]</f>
        <v>56.799999</v>
      </c>
    </row>
    <row r="206" spans="1:6" x14ac:dyDescent="0.25">
      <c r="A206" s="8">
        <v>43476</v>
      </c>
      <c r="B206" s="4">
        <f>AAPL[[#This Row],[Close]]</f>
        <v>152.28999300000001</v>
      </c>
      <c r="C206" s="4">
        <f>AMD[[#This Row],[Close]]</f>
        <v>20.27</v>
      </c>
      <c r="D206" s="4">
        <f>INTC[[#This Row],[Close]]</f>
        <v>48.93</v>
      </c>
      <c r="E206" s="4">
        <f>NVDA[[#This Row],[Close]]</f>
        <v>148.83000200000001</v>
      </c>
      <c r="F206" s="4">
        <f>QCOM[[#This Row],[Close]]</f>
        <v>57.5</v>
      </c>
    </row>
    <row r="207" spans="1:6" x14ac:dyDescent="0.25">
      <c r="A207" s="8">
        <v>43479</v>
      </c>
      <c r="B207" s="4">
        <f>AAPL[[#This Row],[Close]]</f>
        <v>150</v>
      </c>
      <c r="C207" s="4">
        <f>AMD[[#This Row],[Close]]</f>
        <v>20.23</v>
      </c>
      <c r="D207" s="4">
        <f>INTC[[#This Row],[Close]]</f>
        <v>48.349997999999999</v>
      </c>
      <c r="E207" s="4">
        <f>NVDA[[#This Row],[Close]]</f>
        <v>150.44000199999999</v>
      </c>
      <c r="F207" s="4">
        <f>QCOM[[#This Row],[Close]]</f>
        <v>57.299999</v>
      </c>
    </row>
    <row r="208" spans="1:6" x14ac:dyDescent="0.25">
      <c r="A208" s="8">
        <v>43480</v>
      </c>
      <c r="B208" s="4">
        <f>AAPL[[#This Row],[Close]]</f>
        <v>153.070007</v>
      </c>
      <c r="C208" s="4">
        <f>AMD[[#This Row],[Close]]</f>
        <v>20.379999000000002</v>
      </c>
      <c r="D208" s="4">
        <f>INTC[[#This Row],[Close]]</f>
        <v>48.599997999999999</v>
      </c>
      <c r="E208" s="4">
        <f>NVDA[[#This Row],[Close]]</f>
        <v>149.86999499999999</v>
      </c>
      <c r="F208" s="4">
        <f>QCOM[[#This Row],[Close]]</f>
        <v>55.73</v>
      </c>
    </row>
    <row r="209" spans="1:6" x14ac:dyDescent="0.25">
      <c r="A209" s="8">
        <v>43481</v>
      </c>
      <c r="B209" s="4">
        <f>AAPL[[#This Row],[Close]]</f>
        <v>154.94000199999999</v>
      </c>
      <c r="C209" s="4">
        <f>AMD[[#This Row],[Close]]</f>
        <v>19.73</v>
      </c>
      <c r="D209" s="4">
        <f>INTC[[#This Row],[Close]]</f>
        <v>48.130001</v>
      </c>
      <c r="E209" s="4">
        <f>NVDA[[#This Row],[Close]]</f>
        <v>148.83999600000001</v>
      </c>
      <c r="F209" s="4">
        <f>QCOM[[#This Row],[Close]]</f>
        <v>55.27</v>
      </c>
    </row>
    <row r="210" spans="1:6" x14ac:dyDescent="0.25">
      <c r="A210" s="8">
        <v>43482</v>
      </c>
      <c r="B210" s="4">
        <f>AAPL[[#This Row],[Close]]</f>
        <v>155.86000100000001</v>
      </c>
      <c r="C210" s="4">
        <f>AMD[[#This Row],[Close]]</f>
        <v>20.25</v>
      </c>
      <c r="D210" s="4">
        <f>INTC[[#This Row],[Close]]</f>
        <v>48.470001000000003</v>
      </c>
      <c r="E210" s="4">
        <f>NVDA[[#This Row],[Close]]</f>
        <v>151.720001</v>
      </c>
      <c r="F210" s="4">
        <f>QCOM[[#This Row],[Close]]</f>
        <v>54.77</v>
      </c>
    </row>
    <row r="211" spans="1:6" x14ac:dyDescent="0.25">
      <c r="A211" s="8">
        <v>43483</v>
      </c>
      <c r="B211" s="4">
        <f>AAPL[[#This Row],[Close]]</f>
        <v>156.820007</v>
      </c>
      <c r="C211" s="4">
        <f>AMD[[#This Row],[Close]]</f>
        <v>20.77</v>
      </c>
      <c r="D211" s="4">
        <f>INTC[[#This Row],[Close]]</f>
        <v>49.189999</v>
      </c>
      <c r="E211" s="4">
        <f>NVDA[[#This Row],[Close]]</f>
        <v>156.929993</v>
      </c>
      <c r="F211" s="4">
        <f>QCOM[[#This Row],[Close]]</f>
        <v>55.27</v>
      </c>
    </row>
    <row r="212" spans="1:6" x14ac:dyDescent="0.25">
      <c r="A212" s="8">
        <v>43487</v>
      </c>
      <c r="B212" s="4">
        <f>AAPL[[#This Row],[Close]]</f>
        <v>153.300003</v>
      </c>
      <c r="C212" s="4">
        <f>AMD[[#This Row],[Close]]</f>
        <v>19.760000000000002</v>
      </c>
      <c r="D212" s="4">
        <f>INTC[[#This Row],[Close]]</f>
        <v>48.27</v>
      </c>
      <c r="E212" s="4">
        <f>NVDA[[#This Row],[Close]]</f>
        <v>148.770004</v>
      </c>
      <c r="F212" s="4">
        <f>QCOM[[#This Row],[Close]]</f>
        <v>54.290000999999997</v>
      </c>
    </row>
    <row r="213" spans="1:6" x14ac:dyDescent="0.25">
      <c r="A213" s="8">
        <v>43488</v>
      </c>
      <c r="B213" s="4">
        <f>AAPL[[#This Row],[Close]]</f>
        <v>153.91999799999999</v>
      </c>
      <c r="C213" s="4">
        <f>AMD[[#This Row],[Close]]</f>
        <v>19.799999</v>
      </c>
      <c r="D213" s="4">
        <f>INTC[[#This Row],[Close]]</f>
        <v>47.939999</v>
      </c>
      <c r="E213" s="4">
        <f>NVDA[[#This Row],[Close]]</f>
        <v>149.28999300000001</v>
      </c>
      <c r="F213" s="4">
        <f>QCOM[[#This Row],[Close]]</f>
        <v>51.77</v>
      </c>
    </row>
    <row r="214" spans="1:6" x14ac:dyDescent="0.25">
      <c r="A214" s="8">
        <v>43489</v>
      </c>
      <c r="B214" s="4">
        <f>AAPL[[#This Row],[Close]]</f>
        <v>152.699997</v>
      </c>
      <c r="C214" s="4">
        <f>AMD[[#This Row],[Close]]</f>
        <v>20.85</v>
      </c>
      <c r="D214" s="4">
        <f>INTC[[#This Row],[Close]]</f>
        <v>49.759998000000003</v>
      </c>
      <c r="E214" s="4">
        <f>NVDA[[#This Row],[Close]]</f>
        <v>157.83999600000001</v>
      </c>
      <c r="F214" s="4">
        <f>QCOM[[#This Row],[Close]]</f>
        <v>50.810001</v>
      </c>
    </row>
    <row r="215" spans="1:6" x14ac:dyDescent="0.25">
      <c r="A215" s="8">
        <v>43490</v>
      </c>
      <c r="B215" s="4">
        <f>AAPL[[#This Row],[Close]]</f>
        <v>157.759995</v>
      </c>
      <c r="C215" s="4">
        <f>AMD[[#This Row],[Close]]</f>
        <v>21.93</v>
      </c>
      <c r="D215" s="4">
        <f>INTC[[#This Row],[Close]]</f>
        <v>47.040000999999997</v>
      </c>
      <c r="E215" s="4">
        <f>NVDA[[#This Row],[Close]]</f>
        <v>160.14999399999999</v>
      </c>
      <c r="F215" s="4">
        <f>QCOM[[#This Row],[Close]]</f>
        <v>51.299999</v>
      </c>
    </row>
    <row r="216" spans="1:6" x14ac:dyDescent="0.25">
      <c r="A216" s="8">
        <v>43493</v>
      </c>
      <c r="B216" s="4">
        <f>AAPL[[#This Row],[Close]]</f>
        <v>156.300003</v>
      </c>
      <c r="C216" s="4">
        <f>AMD[[#This Row],[Close]]</f>
        <v>20.18</v>
      </c>
      <c r="D216" s="4">
        <f>INTC[[#This Row],[Close]]</f>
        <v>46.709999000000003</v>
      </c>
      <c r="E216" s="4">
        <f>NVDA[[#This Row],[Close]]</f>
        <v>138.009995</v>
      </c>
      <c r="F216" s="4">
        <f>QCOM[[#This Row],[Close]]</f>
        <v>50.639999000000003</v>
      </c>
    </row>
    <row r="217" spans="1:6" x14ac:dyDescent="0.25">
      <c r="A217" s="8">
        <v>43494</v>
      </c>
      <c r="B217" s="4">
        <f>AAPL[[#This Row],[Close]]</f>
        <v>154.679993</v>
      </c>
      <c r="C217" s="4">
        <f>AMD[[#This Row],[Close]]</f>
        <v>19.25</v>
      </c>
      <c r="D217" s="4">
        <f>INTC[[#This Row],[Close]]</f>
        <v>46.540000999999997</v>
      </c>
      <c r="E217" s="4">
        <f>NVDA[[#This Row],[Close]]</f>
        <v>131.60000600000001</v>
      </c>
      <c r="F217" s="4">
        <f>QCOM[[#This Row],[Close]]</f>
        <v>49.400002000000001</v>
      </c>
    </row>
    <row r="218" spans="1:6" x14ac:dyDescent="0.25">
      <c r="A218" s="8">
        <v>43495</v>
      </c>
      <c r="B218" s="4">
        <f>AAPL[[#This Row],[Close]]</f>
        <v>165.25</v>
      </c>
      <c r="C218" s="4">
        <f>AMD[[#This Row],[Close]]</f>
        <v>23.09</v>
      </c>
      <c r="D218" s="4">
        <f>INTC[[#This Row],[Close]]</f>
        <v>47.540000999999997</v>
      </c>
      <c r="E218" s="4">
        <f>NVDA[[#This Row],[Close]]</f>
        <v>137.38999899999999</v>
      </c>
      <c r="F218" s="4">
        <f>QCOM[[#This Row],[Close]]</f>
        <v>50.169998</v>
      </c>
    </row>
    <row r="219" spans="1:6" x14ac:dyDescent="0.25">
      <c r="A219" s="8">
        <v>43496</v>
      </c>
      <c r="B219" s="4">
        <f>AAPL[[#This Row],[Close]]</f>
        <v>166.44000199999999</v>
      </c>
      <c r="C219" s="4">
        <f>AMD[[#This Row],[Close]]</f>
        <v>24.41</v>
      </c>
      <c r="D219" s="4">
        <f>INTC[[#This Row],[Close]]</f>
        <v>47.119999</v>
      </c>
      <c r="E219" s="4">
        <f>NVDA[[#This Row],[Close]]</f>
        <v>143.75</v>
      </c>
      <c r="F219" s="4">
        <f>QCOM[[#This Row],[Close]]</f>
        <v>49.52</v>
      </c>
    </row>
    <row r="220" spans="1:6" x14ac:dyDescent="0.25">
      <c r="A220" s="8">
        <v>43497</v>
      </c>
      <c r="B220" s="4">
        <f>AAPL[[#This Row],[Close]]</f>
        <v>166.520004</v>
      </c>
      <c r="C220" s="4">
        <f>AMD[[#This Row],[Close]]</f>
        <v>24.51</v>
      </c>
      <c r="D220" s="4">
        <f>INTC[[#This Row],[Close]]</f>
        <v>48.73</v>
      </c>
      <c r="E220" s="4">
        <f>NVDA[[#This Row],[Close]]</f>
        <v>144.729996</v>
      </c>
      <c r="F220" s="4">
        <f>QCOM[[#This Row],[Close]]</f>
        <v>49.610000999999997</v>
      </c>
    </row>
    <row r="221" spans="1:6" x14ac:dyDescent="0.25">
      <c r="A221" s="8">
        <v>43500</v>
      </c>
      <c r="B221" s="4">
        <f>AAPL[[#This Row],[Close]]</f>
        <v>171.25</v>
      </c>
      <c r="C221" s="4">
        <f>AMD[[#This Row],[Close]]</f>
        <v>24.129999000000002</v>
      </c>
      <c r="D221" s="4">
        <f>INTC[[#This Row],[Close]]</f>
        <v>49.220001000000003</v>
      </c>
      <c r="E221" s="4">
        <f>NVDA[[#This Row],[Close]]</f>
        <v>149.179993</v>
      </c>
      <c r="F221" s="4">
        <f>QCOM[[#This Row],[Close]]</f>
        <v>49.689999</v>
      </c>
    </row>
    <row r="222" spans="1:6" x14ac:dyDescent="0.25">
      <c r="A222" s="8">
        <v>43501</v>
      </c>
      <c r="B222" s="4">
        <f>AAPL[[#This Row],[Close]]</f>
        <v>174.179993</v>
      </c>
      <c r="C222" s="4">
        <f>AMD[[#This Row],[Close]]</f>
        <v>23.309999000000001</v>
      </c>
      <c r="D222" s="4">
        <f>INTC[[#This Row],[Close]]</f>
        <v>50.009998000000003</v>
      </c>
      <c r="E222" s="4">
        <f>NVDA[[#This Row],[Close]]</f>
        <v>149.949997</v>
      </c>
      <c r="F222" s="4">
        <f>QCOM[[#This Row],[Close]]</f>
        <v>50.73</v>
      </c>
    </row>
    <row r="223" spans="1:6" x14ac:dyDescent="0.25">
      <c r="A223" s="8">
        <v>43502</v>
      </c>
      <c r="B223" s="4">
        <f>AAPL[[#This Row],[Close]]</f>
        <v>174.240005</v>
      </c>
      <c r="C223" s="4">
        <f>AMD[[#This Row],[Close]]</f>
        <v>23.26</v>
      </c>
      <c r="D223" s="4">
        <f>INTC[[#This Row],[Close]]</f>
        <v>49.900002000000001</v>
      </c>
      <c r="E223" s="4">
        <f>NVDA[[#This Row],[Close]]</f>
        <v>153</v>
      </c>
      <c r="F223" s="4">
        <f>QCOM[[#This Row],[Close]]</f>
        <v>51.099997999999999</v>
      </c>
    </row>
    <row r="224" spans="1:6" x14ac:dyDescent="0.25">
      <c r="A224" s="8">
        <v>43503</v>
      </c>
      <c r="B224" s="4">
        <f>AAPL[[#This Row],[Close]]</f>
        <v>170.94000199999999</v>
      </c>
      <c r="C224" s="4">
        <f>AMD[[#This Row],[Close]]</f>
        <v>22.67</v>
      </c>
      <c r="D224" s="4">
        <f>INTC[[#This Row],[Close]]</f>
        <v>49.23</v>
      </c>
      <c r="E224" s="4">
        <f>NVDA[[#This Row],[Close]]</f>
        <v>147.41999799999999</v>
      </c>
      <c r="F224" s="4">
        <f>QCOM[[#This Row],[Close]]</f>
        <v>50.549999</v>
      </c>
    </row>
    <row r="225" spans="1:6" x14ac:dyDescent="0.25">
      <c r="A225" s="8">
        <v>43504</v>
      </c>
      <c r="B225" s="4">
        <f>AAPL[[#This Row],[Close]]</f>
        <v>170.41000399999999</v>
      </c>
      <c r="C225" s="4">
        <f>AMD[[#This Row],[Close]]</f>
        <v>23.049999</v>
      </c>
      <c r="D225" s="4">
        <f>INTC[[#This Row],[Close]]</f>
        <v>48.84</v>
      </c>
      <c r="E225" s="4">
        <f>NVDA[[#This Row],[Close]]</f>
        <v>148.16999799999999</v>
      </c>
      <c r="F225" s="4">
        <f>QCOM[[#This Row],[Close]]</f>
        <v>50.290000999999997</v>
      </c>
    </row>
    <row r="226" spans="1:6" x14ac:dyDescent="0.25">
      <c r="A226" s="8">
        <v>43507</v>
      </c>
      <c r="B226" s="4">
        <f>AAPL[[#This Row],[Close]]</f>
        <v>169.429993</v>
      </c>
      <c r="C226" s="4">
        <f>AMD[[#This Row],[Close]]</f>
        <v>22.959999</v>
      </c>
      <c r="D226" s="4">
        <f>INTC[[#This Row],[Close]]</f>
        <v>48.77</v>
      </c>
      <c r="E226" s="4">
        <f>NVDA[[#This Row],[Close]]</f>
        <v>146.449997</v>
      </c>
      <c r="F226" s="4">
        <f>QCOM[[#This Row],[Close]]</f>
        <v>50.830002</v>
      </c>
    </row>
    <row r="227" spans="1:6" x14ac:dyDescent="0.25">
      <c r="A227" s="8">
        <v>43508</v>
      </c>
      <c r="B227" s="4">
        <f>AAPL[[#This Row],[Close]]</f>
        <v>170.88999899999999</v>
      </c>
      <c r="C227" s="4">
        <f>AMD[[#This Row],[Close]]</f>
        <v>22.82</v>
      </c>
      <c r="D227" s="4">
        <f>INTC[[#This Row],[Close]]</f>
        <v>50.009998000000003</v>
      </c>
      <c r="E227" s="4">
        <f>NVDA[[#This Row],[Close]]</f>
        <v>151.16999799999999</v>
      </c>
      <c r="F227" s="4">
        <f>QCOM[[#This Row],[Close]]</f>
        <v>51.66</v>
      </c>
    </row>
    <row r="228" spans="1:6" x14ac:dyDescent="0.25">
      <c r="A228" s="8">
        <v>43509</v>
      </c>
      <c r="B228" s="4">
        <f>AAPL[[#This Row],[Close]]</f>
        <v>170.179993</v>
      </c>
      <c r="C228" s="4">
        <f>AMD[[#This Row],[Close]]</f>
        <v>22.85</v>
      </c>
      <c r="D228" s="4">
        <f>INTC[[#This Row],[Close]]</f>
        <v>50.470001000000003</v>
      </c>
      <c r="E228" s="4">
        <f>NVDA[[#This Row],[Close]]</f>
        <v>152.88000500000001</v>
      </c>
      <c r="F228" s="4">
        <f>QCOM[[#This Row],[Close]]</f>
        <v>51.59</v>
      </c>
    </row>
    <row r="229" spans="1:6" x14ac:dyDescent="0.25">
      <c r="A229" s="8">
        <v>43510</v>
      </c>
      <c r="B229" s="4">
        <f>AAPL[[#This Row],[Close]]</f>
        <v>170.800003</v>
      </c>
      <c r="C229" s="4">
        <f>AMD[[#This Row],[Close]]</f>
        <v>23.129999000000002</v>
      </c>
      <c r="D229" s="4">
        <f>INTC[[#This Row],[Close]]</f>
        <v>50.810001</v>
      </c>
      <c r="E229" s="4">
        <f>NVDA[[#This Row],[Close]]</f>
        <v>154.529999</v>
      </c>
      <c r="F229" s="4">
        <f>QCOM[[#This Row],[Close]]</f>
        <v>51.57</v>
      </c>
    </row>
    <row r="230" spans="1:6" x14ac:dyDescent="0.25">
      <c r="A230" s="8">
        <v>43511</v>
      </c>
      <c r="B230" s="4">
        <f>AAPL[[#This Row],[Close]]</f>
        <v>170.41999799999999</v>
      </c>
      <c r="C230" s="4">
        <f>AMD[[#This Row],[Close]]</f>
        <v>23.68</v>
      </c>
      <c r="D230" s="4">
        <f>INTC[[#This Row],[Close]]</f>
        <v>51.66</v>
      </c>
      <c r="E230" s="4">
        <f>NVDA[[#This Row],[Close]]</f>
        <v>157.33999600000001</v>
      </c>
      <c r="F230" s="4">
        <f>QCOM[[#This Row],[Close]]</f>
        <v>51.98</v>
      </c>
    </row>
    <row r="231" spans="1:6" x14ac:dyDescent="0.25">
      <c r="A231" s="8">
        <v>43515</v>
      </c>
      <c r="B231" s="4">
        <f>AAPL[[#This Row],[Close]]</f>
        <v>170.929993</v>
      </c>
      <c r="C231" s="4">
        <f>AMD[[#This Row],[Close]]</f>
        <v>23.950001</v>
      </c>
      <c r="D231" s="4">
        <f>INTC[[#This Row],[Close]]</f>
        <v>51.400002000000001</v>
      </c>
      <c r="E231" s="4">
        <f>NVDA[[#This Row],[Close]]</f>
        <v>156.63999899999999</v>
      </c>
      <c r="F231" s="4">
        <f>QCOM[[#This Row],[Close]]</f>
        <v>52.009998000000003</v>
      </c>
    </row>
    <row r="232" spans="1:6" x14ac:dyDescent="0.25">
      <c r="A232" s="8">
        <v>43516</v>
      </c>
      <c r="B232" s="4">
        <f>AAPL[[#This Row],[Close]]</f>
        <v>172.029999</v>
      </c>
      <c r="C232" s="4">
        <f>AMD[[#This Row],[Close]]</f>
        <v>23.950001</v>
      </c>
      <c r="D232" s="4">
        <f>INTC[[#This Row],[Close]]</f>
        <v>51.389999000000003</v>
      </c>
      <c r="E232" s="4">
        <f>NVDA[[#This Row],[Close]]</f>
        <v>158.550003</v>
      </c>
      <c r="F232" s="4">
        <f>QCOM[[#This Row],[Close]]</f>
        <v>52.450001</v>
      </c>
    </row>
    <row r="233" spans="1:6" x14ac:dyDescent="0.25">
      <c r="A233" s="8">
        <v>43517</v>
      </c>
      <c r="B233" s="4">
        <f>AAPL[[#This Row],[Close]]</f>
        <v>171.05999800000001</v>
      </c>
      <c r="C233" s="4">
        <f>AMD[[#This Row],[Close]]</f>
        <v>23.92</v>
      </c>
      <c r="D233" s="4">
        <f>INTC[[#This Row],[Close]]</f>
        <v>51.41</v>
      </c>
      <c r="E233" s="4">
        <f>NVDA[[#This Row],[Close]]</f>
        <v>155.770004</v>
      </c>
      <c r="F233" s="4">
        <f>QCOM[[#This Row],[Close]]</f>
        <v>52.349997999999999</v>
      </c>
    </row>
    <row r="234" spans="1:6" x14ac:dyDescent="0.25">
      <c r="A234" s="8">
        <v>43518</v>
      </c>
      <c r="B234" s="4">
        <f>AAPL[[#This Row],[Close]]</f>
        <v>172.970001</v>
      </c>
      <c r="C234" s="4">
        <f>AMD[[#This Row],[Close]]</f>
        <v>24.360001</v>
      </c>
      <c r="D234" s="4">
        <f>INTC[[#This Row],[Close]]</f>
        <v>52.490001999999997</v>
      </c>
      <c r="E234" s="4">
        <f>NVDA[[#This Row],[Close]]</f>
        <v>159.19000199999999</v>
      </c>
      <c r="F234" s="4">
        <f>QCOM[[#This Row],[Close]]</f>
        <v>53.119999</v>
      </c>
    </row>
    <row r="235" spans="1:6" x14ac:dyDescent="0.25">
      <c r="A235" s="8">
        <v>43521</v>
      </c>
      <c r="B235" s="4">
        <f>AAPL[[#This Row],[Close]]</f>
        <v>174.229996</v>
      </c>
      <c r="C235" s="4">
        <f>AMD[[#This Row],[Close]]</f>
        <v>24.709999</v>
      </c>
      <c r="D235" s="4">
        <f>INTC[[#This Row],[Close]]</f>
        <v>53.099997999999999</v>
      </c>
      <c r="E235" s="4">
        <f>NVDA[[#This Row],[Close]]</f>
        <v>158.69000199999999</v>
      </c>
      <c r="F235" s="4">
        <f>QCOM[[#This Row],[Close]]</f>
        <v>52.990001999999997</v>
      </c>
    </row>
    <row r="236" spans="1:6" x14ac:dyDescent="0.25">
      <c r="A236" s="8">
        <v>43522</v>
      </c>
      <c r="B236" s="4">
        <f>AAPL[[#This Row],[Close]]</f>
        <v>174.33000200000001</v>
      </c>
      <c r="C236" s="4">
        <f>AMD[[#This Row],[Close]]</f>
        <v>24.209999</v>
      </c>
      <c r="D236" s="4">
        <f>INTC[[#This Row],[Close]]</f>
        <v>53.23</v>
      </c>
      <c r="E236" s="4">
        <f>NVDA[[#This Row],[Close]]</f>
        <v>157.10000600000001</v>
      </c>
      <c r="F236" s="4">
        <f>QCOM[[#This Row],[Close]]</f>
        <v>53.029998999999997</v>
      </c>
    </row>
    <row r="237" spans="1:6" x14ac:dyDescent="0.25">
      <c r="A237" s="8">
        <v>43523</v>
      </c>
      <c r="B237" s="4">
        <f>AAPL[[#This Row],[Close]]</f>
        <v>174.86999499999999</v>
      </c>
      <c r="C237" s="4">
        <f>AMD[[#This Row],[Close]]</f>
        <v>23.48</v>
      </c>
      <c r="D237" s="4">
        <f>INTC[[#This Row],[Close]]</f>
        <v>53.240001999999997</v>
      </c>
      <c r="E237" s="4">
        <f>NVDA[[#This Row],[Close]]</f>
        <v>155.41000399999999</v>
      </c>
      <c r="F237" s="4">
        <f>QCOM[[#This Row],[Close]]</f>
        <v>53.040000999999997</v>
      </c>
    </row>
    <row r="238" spans="1:6" x14ac:dyDescent="0.25">
      <c r="A238" s="8">
        <v>43524</v>
      </c>
      <c r="B238" s="4">
        <f>AAPL[[#This Row],[Close]]</f>
        <v>173.14999399999999</v>
      </c>
      <c r="C238" s="4">
        <f>AMD[[#This Row],[Close]]</f>
        <v>23.530000999999999</v>
      </c>
      <c r="D238" s="4">
        <f>INTC[[#This Row],[Close]]</f>
        <v>52.959999000000003</v>
      </c>
      <c r="E238" s="4">
        <f>NVDA[[#This Row],[Close]]</f>
        <v>154.259995</v>
      </c>
      <c r="F238" s="4">
        <f>QCOM[[#This Row],[Close]]</f>
        <v>53.389999000000003</v>
      </c>
    </row>
    <row r="239" spans="1:6" x14ac:dyDescent="0.25">
      <c r="A239" s="8">
        <v>43525</v>
      </c>
      <c r="B239" s="4">
        <f>AAPL[[#This Row],[Close]]</f>
        <v>174.970001</v>
      </c>
      <c r="C239" s="4">
        <f>AMD[[#This Row],[Close]]</f>
        <v>23.68</v>
      </c>
      <c r="D239" s="4">
        <f>INTC[[#This Row],[Close]]</f>
        <v>53.299999</v>
      </c>
      <c r="E239" s="4">
        <f>NVDA[[#This Row],[Close]]</f>
        <v>156.449997</v>
      </c>
      <c r="F239" s="4">
        <f>QCOM[[#This Row],[Close]]</f>
        <v>54.200001</v>
      </c>
    </row>
    <row r="240" spans="1:6" x14ac:dyDescent="0.25">
      <c r="A240" s="8">
        <v>43528</v>
      </c>
      <c r="B240" s="4">
        <f>AAPL[[#This Row],[Close]]</f>
        <v>175.85000600000001</v>
      </c>
      <c r="C240" s="4">
        <f>AMD[[#This Row],[Close]]</f>
        <v>23.370000999999998</v>
      </c>
      <c r="D240" s="4">
        <f>INTC[[#This Row],[Close]]</f>
        <v>53.939999</v>
      </c>
      <c r="E240" s="4">
        <f>NVDA[[#This Row],[Close]]</f>
        <v>156.779999</v>
      </c>
      <c r="F240" s="4">
        <f>QCOM[[#This Row],[Close]]</f>
        <v>53.779998999999997</v>
      </c>
    </row>
    <row r="241" spans="1:6" x14ac:dyDescent="0.25">
      <c r="A241" s="8">
        <v>43529</v>
      </c>
      <c r="B241" s="4">
        <f>AAPL[[#This Row],[Close]]</f>
        <v>175.529999</v>
      </c>
      <c r="C241" s="4">
        <f>AMD[[#This Row],[Close]]</f>
        <v>23.5</v>
      </c>
      <c r="D241" s="4">
        <f>INTC[[#This Row],[Close]]</f>
        <v>53.68</v>
      </c>
      <c r="E241" s="4">
        <f>NVDA[[#This Row],[Close]]</f>
        <v>156.520004</v>
      </c>
      <c r="F241" s="4">
        <f>QCOM[[#This Row],[Close]]</f>
        <v>53.939999</v>
      </c>
    </row>
    <row r="242" spans="1:6" x14ac:dyDescent="0.25">
      <c r="A242" s="8">
        <v>43530</v>
      </c>
      <c r="B242" s="4">
        <f>AAPL[[#This Row],[Close]]</f>
        <v>174.520004</v>
      </c>
      <c r="C242" s="4">
        <f>AMD[[#This Row],[Close]]</f>
        <v>22.41</v>
      </c>
      <c r="D242" s="4">
        <f>INTC[[#This Row],[Close]]</f>
        <v>52.950001</v>
      </c>
      <c r="E242" s="4">
        <f>NVDA[[#This Row],[Close]]</f>
        <v>152.050003</v>
      </c>
      <c r="F242" s="4">
        <f>QCOM[[#This Row],[Close]]</f>
        <v>54.799999</v>
      </c>
    </row>
    <row r="243" spans="1:6" x14ac:dyDescent="0.25">
      <c r="A243" s="8">
        <v>43531</v>
      </c>
      <c r="B243" s="4">
        <f>AAPL[[#This Row],[Close]]</f>
        <v>172.5</v>
      </c>
      <c r="C243" s="4">
        <f>AMD[[#This Row],[Close]]</f>
        <v>22.08</v>
      </c>
      <c r="D243" s="4">
        <f>INTC[[#This Row],[Close]]</f>
        <v>52.599997999999999</v>
      </c>
      <c r="E243" s="4">
        <f>NVDA[[#This Row],[Close]]</f>
        <v>149.259995</v>
      </c>
      <c r="F243" s="4">
        <f>QCOM[[#This Row],[Close]]</f>
        <v>54.029998999999997</v>
      </c>
    </row>
    <row r="244" spans="1:6" x14ac:dyDescent="0.25">
      <c r="A244" s="8">
        <v>43532</v>
      </c>
      <c r="B244" s="4">
        <f>AAPL[[#This Row],[Close]]</f>
        <v>172.91000399999999</v>
      </c>
      <c r="C244" s="4">
        <f>AMD[[#This Row],[Close]]</f>
        <v>22.01</v>
      </c>
      <c r="D244" s="4">
        <f>INTC[[#This Row],[Close]]</f>
        <v>52.48</v>
      </c>
      <c r="E244" s="4">
        <f>NVDA[[#This Row],[Close]]</f>
        <v>150.63999899999999</v>
      </c>
      <c r="F244" s="4">
        <f>QCOM[[#This Row],[Close]]</f>
        <v>53.529998999999997</v>
      </c>
    </row>
    <row r="245" spans="1:6" x14ac:dyDescent="0.25">
      <c r="A245" s="8">
        <v>43535</v>
      </c>
      <c r="B245" s="4">
        <f>AAPL[[#This Row],[Close]]</f>
        <v>178.89999399999999</v>
      </c>
      <c r="C245" s="4">
        <f>AMD[[#This Row],[Close]]</f>
        <v>22.959999</v>
      </c>
      <c r="D245" s="4">
        <f>INTC[[#This Row],[Close]]</f>
        <v>53.349997999999999</v>
      </c>
      <c r="E245" s="4">
        <f>NVDA[[#This Row],[Close]]</f>
        <v>161.13999899999999</v>
      </c>
      <c r="F245" s="4">
        <f>QCOM[[#This Row],[Close]]</f>
        <v>54.349997999999999</v>
      </c>
    </row>
    <row r="246" spans="1:6" x14ac:dyDescent="0.25">
      <c r="A246" s="8">
        <v>43536</v>
      </c>
      <c r="B246" s="4">
        <f>AAPL[[#This Row],[Close]]</f>
        <v>180.91000399999999</v>
      </c>
      <c r="C246" s="4">
        <f>AMD[[#This Row],[Close]]</f>
        <v>23.49</v>
      </c>
      <c r="D246" s="4">
        <f>INTC[[#This Row],[Close]]</f>
        <v>53.57</v>
      </c>
      <c r="E246" s="4">
        <f>NVDA[[#This Row],[Close]]</f>
        <v>162.520004</v>
      </c>
      <c r="F246" s="4">
        <f>QCOM[[#This Row],[Close]]</f>
        <v>54.84</v>
      </c>
    </row>
    <row r="247" spans="1:6" x14ac:dyDescent="0.25">
      <c r="A247" s="8">
        <v>43537</v>
      </c>
      <c r="B247" s="4">
        <f>AAPL[[#This Row],[Close]]</f>
        <v>181.71000699999999</v>
      </c>
      <c r="C247" s="4">
        <f>AMD[[#This Row],[Close]]</f>
        <v>23.379999000000002</v>
      </c>
      <c r="D247" s="4">
        <f>INTC[[#This Row],[Close]]</f>
        <v>54.369999</v>
      </c>
      <c r="E247" s="4">
        <f>NVDA[[#This Row],[Close]]</f>
        <v>168.61999499999999</v>
      </c>
      <c r="F247" s="4">
        <f>QCOM[[#This Row],[Close]]</f>
        <v>55.389999000000003</v>
      </c>
    </row>
    <row r="248" spans="1:6" x14ac:dyDescent="0.25">
      <c r="A248" s="8">
        <v>43538</v>
      </c>
      <c r="B248" s="4">
        <f>AAPL[[#This Row],[Close]]</f>
        <v>183.729996</v>
      </c>
      <c r="C248" s="4">
        <f>AMD[[#This Row],[Close]]</f>
        <v>22.82</v>
      </c>
      <c r="D248" s="4">
        <f>INTC[[#This Row],[Close]]</f>
        <v>53.439999</v>
      </c>
      <c r="E248" s="4">
        <f>NVDA[[#This Row],[Close]]</f>
        <v>165.55999800000001</v>
      </c>
      <c r="F248" s="4">
        <f>QCOM[[#This Row],[Close]]</f>
        <v>55.400002000000001</v>
      </c>
    </row>
    <row r="249" spans="1:6" x14ac:dyDescent="0.25">
      <c r="A249" s="8">
        <v>43539</v>
      </c>
      <c r="B249" s="4">
        <f>AAPL[[#This Row],[Close]]</f>
        <v>186.11999499999999</v>
      </c>
      <c r="C249" s="4">
        <f>AMD[[#This Row],[Close]]</f>
        <v>23.290001</v>
      </c>
      <c r="D249" s="4">
        <f>INTC[[#This Row],[Close]]</f>
        <v>54.330002</v>
      </c>
      <c r="E249" s="4">
        <f>NVDA[[#This Row],[Close]]</f>
        <v>169.80999800000001</v>
      </c>
      <c r="F249" s="4">
        <f>QCOM[[#This Row],[Close]]</f>
        <v>56.599997999999999</v>
      </c>
    </row>
    <row r="250" spans="1:6" x14ac:dyDescent="0.25">
      <c r="A250" s="8">
        <v>43542</v>
      </c>
      <c r="B250" s="4">
        <f>AAPL[[#This Row],[Close]]</f>
        <v>188.020004</v>
      </c>
      <c r="C250" s="4">
        <f>AMD[[#This Row],[Close]]</f>
        <v>23.25</v>
      </c>
      <c r="D250" s="4">
        <f>INTC[[#This Row],[Close]]</f>
        <v>54.099997999999999</v>
      </c>
      <c r="E250" s="4">
        <f>NVDA[[#This Row],[Close]]</f>
        <v>168.949997</v>
      </c>
      <c r="F250" s="4">
        <f>QCOM[[#This Row],[Close]]</f>
        <v>56.830002</v>
      </c>
    </row>
    <row r="251" spans="1:6" x14ac:dyDescent="0.25">
      <c r="A251" s="8">
        <v>43543</v>
      </c>
      <c r="B251" s="4">
        <f>AAPL[[#This Row],[Close]]</f>
        <v>186.529999</v>
      </c>
      <c r="C251" s="4">
        <f>AMD[[#This Row],[Close]]</f>
        <v>26</v>
      </c>
      <c r="D251" s="4">
        <f>INTC[[#This Row],[Close]]</f>
        <v>54.169998</v>
      </c>
      <c r="E251" s="4">
        <f>NVDA[[#This Row],[Close]]</f>
        <v>175.71000699999999</v>
      </c>
      <c r="F251" s="4">
        <f>QCOM[[#This Row],[Close]]</f>
        <v>56.970001000000003</v>
      </c>
    </row>
    <row r="252" spans="1:6" x14ac:dyDescent="0.25">
      <c r="A252" s="8">
        <v>43544</v>
      </c>
      <c r="B252" s="4">
        <f>AAPL[[#This Row],[Close]]</f>
        <v>188.16000399999999</v>
      </c>
      <c r="C252" s="4">
        <f>AMD[[#This Row],[Close]]</f>
        <v>25.700001</v>
      </c>
      <c r="D252" s="4">
        <f>INTC[[#This Row],[Close]]</f>
        <v>53.82</v>
      </c>
      <c r="E252" s="4">
        <f>NVDA[[#This Row],[Close]]</f>
        <v>174.39999399999999</v>
      </c>
      <c r="F252" s="4">
        <f>QCOM[[#This Row],[Close]]</f>
        <v>57.16</v>
      </c>
    </row>
    <row r="253" spans="1:6" x14ac:dyDescent="0.25">
      <c r="A253" s="8">
        <v>43545</v>
      </c>
      <c r="B253" s="4">
        <f>AAPL[[#This Row],[Close]]</f>
        <v>195.08999600000001</v>
      </c>
      <c r="C253" s="4">
        <f>AMD[[#This Row],[Close]]</f>
        <v>27.889999</v>
      </c>
      <c r="D253" s="4">
        <f>INTC[[#This Row],[Close]]</f>
        <v>54.639999000000003</v>
      </c>
      <c r="E253" s="4">
        <f>NVDA[[#This Row],[Close]]</f>
        <v>183.94000199999999</v>
      </c>
      <c r="F253" s="4">
        <f>QCOM[[#This Row],[Close]]</f>
        <v>57.77</v>
      </c>
    </row>
    <row r="254" spans="1:6" x14ac:dyDescent="0.25">
      <c r="A254" s="8">
        <v>43546</v>
      </c>
      <c r="B254" s="4">
        <f>AAPL[[#This Row],[Close]]</f>
        <v>191.050003</v>
      </c>
      <c r="C254" s="4">
        <f>AMD[[#This Row],[Close]]</f>
        <v>26.370000999999998</v>
      </c>
      <c r="D254" s="4">
        <f>INTC[[#This Row],[Close]]</f>
        <v>53.259998000000003</v>
      </c>
      <c r="E254" s="4">
        <f>NVDA[[#This Row],[Close]]</f>
        <v>177.5</v>
      </c>
      <c r="F254" s="4">
        <f>QCOM[[#This Row],[Close]]</f>
        <v>56.82</v>
      </c>
    </row>
  </sheetData>
  <mergeCells count="1">
    <mergeCell ref="A1:F2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8"/>
  <sheetViews>
    <sheetView topLeftCell="C16" workbookViewId="0">
      <selection activeCell="I18" sqref="I18"/>
    </sheetView>
  </sheetViews>
  <sheetFormatPr defaultRowHeight="15" x14ac:dyDescent="0.25"/>
  <cols>
    <col min="1" max="1" width="11.5703125" bestFit="1" customWidth="1"/>
    <col min="2" max="2" width="15.7109375" bestFit="1" customWidth="1"/>
    <col min="3" max="3" width="15.5703125" bestFit="1" customWidth="1"/>
    <col min="4" max="4" width="15.28515625" bestFit="1" customWidth="1"/>
    <col min="5" max="5" width="16.42578125" bestFit="1" customWidth="1"/>
    <col min="6" max="6" width="17" bestFit="1" customWidth="1"/>
    <col min="7" max="7" width="19" bestFit="1" customWidth="1"/>
  </cols>
  <sheetData>
    <row r="1" spans="1:6" ht="15.75" thickBot="1" x14ac:dyDescent="0.3">
      <c r="A1" s="50" t="s">
        <v>48</v>
      </c>
      <c r="B1" s="50"/>
      <c r="C1" s="50"/>
      <c r="D1" s="50"/>
      <c r="E1" s="50"/>
      <c r="F1" s="50"/>
    </row>
    <row r="2" spans="1:6" x14ac:dyDescent="0.25">
      <c r="A2" s="17" t="s">
        <v>47</v>
      </c>
      <c r="B2" s="1" t="s">
        <v>42</v>
      </c>
      <c r="C2" s="1" t="s">
        <v>43</v>
      </c>
      <c r="D2" s="1" t="s">
        <v>44</v>
      </c>
      <c r="E2" s="1" t="s">
        <v>45</v>
      </c>
      <c r="F2" s="1" t="s">
        <v>46</v>
      </c>
    </row>
    <row r="3" spans="1:6" x14ac:dyDescent="0.25">
      <c r="A3" s="5" t="s">
        <v>16</v>
      </c>
      <c r="B3" s="4"/>
      <c r="C3" s="4"/>
      <c r="D3" s="4"/>
      <c r="E3" s="4"/>
      <c r="F3" s="4"/>
    </row>
    <row r="4" spans="1:6" x14ac:dyDescent="0.25">
      <c r="A4" s="6" t="s">
        <v>19</v>
      </c>
      <c r="B4" s="4">
        <v>168.84249875</v>
      </c>
      <c r="C4" s="4">
        <v>10.074999999999999</v>
      </c>
      <c r="D4" s="4">
        <v>51.337499749999999</v>
      </c>
      <c r="E4" s="4">
        <v>230.73500050000001</v>
      </c>
      <c r="F4" s="4">
        <v>55.270000500000002</v>
      </c>
    </row>
    <row r="5" spans="1:6" x14ac:dyDescent="0.25">
      <c r="A5" s="6" t="s">
        <v>20</v>
      </c>
      <c r="B5" s="4">
        <v>169.83428652380951</v>
      </c>
      <c r="C5" s="4">
        <v>10.083809523809524</v>
      </c>
      <c r="D5" s="4">
        <v>51.379047761904758</v>
      </c>
      <c r="E5" s="4">
        <v>225.96523971428573</v>
      </c>
      <c r="F5" s="4">
        <v>53.240476000000001</v>
      </c>
    </row>
    <row r="6" spans="1:6" x14ac:dyDescent="0.25">
      <c r="A6" s="6" t="s">
        <v>21</v>
      </c>
      <c r="B6" s="4">
        <v>185.53681809090909</v>
      </c>
      <c r="C6" s="4">
        <v>12.444999999999999</v>
      </c>
      <c r="D6" s="4">
        <v>54.263181909090918</v>
      </c>
      <c r="E6" s="4">
        <v>246.40090872727276</v>
      </c>
      <c r="F6" s="4">
        <v>55.652727136363644</v>
      </c>
    </row>
    <row r="7" spans="1:6" x14ac:dyDescent="0.25">
      <c r="A7" s="6" t="s">
        <v>22</v>
      </c>
      <c r="B7" s="4">
        <v>188.62142876190478</v>
      </c>
      <c r="C7" s="4">
        <v>15.62142866666667</v>
      </c>
      <c r="D7" s="4">
        <v>53.610475999999998</v>
      </c>
      <c r="E7" s="4">
        <v>256.46952238095236</v>
      </c>
      <c r="F7" s="4">
        <v>58.568095285714293</v>
      </c>
    </row>
    <row r="8" spans="1:6" x14ac:dyDescent="0.25">
      <c r="A8" s="6" t="s">
        <v>23</v>
      </c>
      <c r="B8" s="4">
        <v>190.31142904761901</v>
      </c>
      <c r="C8" s="4">
        <v>16.749047666666669</v>
      </c>
      <c r="D8" s="4">
        <v>51.119047571428553</v>
      </c>
      <c r="E8" s="4">
        <v>248.67000033333329</v>
      </c>
      <c r="F8" s="4">
        <v>59.087618809523811</v>
      </c>
    </row>
    <row r="9" spans="1:6" x14ac:dyDescent="0.25">
      <c r="A9" s="6" t="s">
        <v>24</v>
      </c>
      <c r="B9" s="4">
        <v>213.34608852173915</v>
      </c>
      <c r="C9" s="4">
        <v>21.050434782608693</v>
      </c>
      <c r="D9" s="4">
        <v>48.361738739130431</v>
      </c>
      <c r="E9" s="4">
        <v>260.82739047826084</v>
      </c>
      <c r="F9" s="4">
        <v>66.315217391304344</v>
      </c>
    </row>
    <row r="10" spans="1:6" x14ac:dyDescent="0.25">
      <c r="A10" s="6" t="s">
        <v>25</v>
      </c>
      <c r="B10" s="4">
        <v>222.0736854210526</v>
      </c>
      <c r="C10" s="4">
        <v>30.832104999999999</v>
      </c>
      <c r="D10" s="4">
        <v>46.309473736842108</v>
      </c>
      <c r="E10" s="4">
        <v>271.91105405263164</v>
      </c>
      <c r="F10" s="4">
        <v>72.63315742105263</v>
      </c>
    </row>
    <row r="11" spans="1:6" x14ac:dyDescent="0.25">
      <c r="A11" s="6" t="s">
        <v>13</v>
      </c>
      <c r="B11" s="4">
        <v>220.84565204347825</v>
      </c>
      <c r="C11" s="4">
        <v>24.714347826086961</v>
      </c>
      <c r="D11" s="4">
        <v>45.793912608695656</v>
      </c>
      <c r="E11" s="4">
        <v>240.02739086956524</v>
      </c>
      <c r="F11" s="4">
        <v>66.716956173913033</v>
      </c>
    </row>
    <row r="12" spans="1:6" x14ac:dyDescent="0.25">
      <c r="A12" s="6" t="s">
        <v>14</v>
      </c>
      <c r="B12" s="4">
        <v>191.23571409523808</v>
      </c>
      <c r="C12" s="4">
        <v>20.396666619047622</v>
      </c>
      <c r="D12" s="4">
        <v>47.847143523809528</v>
      </c>
      <c r="E12" s="4">
        <v>181.20476133333335</v>
      </c>
      <c r="F12" s="4">
        <v>57.649524000000007</v>
      </c>
    </row>
    <row r="13" spans="1:6" x14ac:dyDescent="0.25">
      <c r="A13" s="6" t="s">
        <v>15</v>
      </c>
      <c r="B13" s="4">
        <v>164.26631715789475</v>
      </c>
      <c r="C13" s="4">
        <v>19.23578942105263</v>
      </c>
      <c r="D13" s="4">
        <v>46.928947947368421</v>
      </c>
      <c r="E13" s="4">
        <v>143.65999963157893</v>
      </c>
      <c r="F13" s="4">
        <v>56.847368368421066</v>
      </c>
    </row>
    <row r="14" spans="1:6" x14ac:dyDescent="0.25">
      <c r="A14" s="5" t="s">
        <v>41</v>
      </c>
      <c r="B14" s="4"/>
      <c r="C14" s="4"/>
      <c r="D14" s="4"/>
      <c r="E14" s="4"/>
      <c r="F14" s="4"/>
    </row>
    <row r="15" spans="1:6" x14ac:dyDescent="0.25">
      <c r="A15" s="6" t="s">
        <v>17</v>
      </c>
      <c r="B15" s="4">
        <v>154.16619</v>
      </c>
      <c r="C15" s="4">
        <v>20.334761809523812</v>
      </c>
      <c r="D15" s="4">
        <v>47.768095238095235</v>
      </c>
      <c r="E15" s="4">
        <v>144.99380814285715</v>
      </c>
      <c r="F15" s="4">
        <v>54.249523809523801</v>
      </c>
    </row>
    <row r="16" spans="1:6" x14ac:dyDescent="0.25">
      <c r="A16" s="6" t="s">
        <v>18</v>
      </c>
      <c r="B16" s="4">
        <v>171.72789326315791</v>
      </c>
      <c r="C16" s="4">
        <v>23.604210368421054</v>
      </c>
      <c r="D16" s="4">
        <v>50.887894894736839</v>
      </c>
      <c r="E16" s="4">
        <v>153.1805258947368</v>
      </c>
      <c r="F16" s="4">
        <v>51.683157736842105</v>
      </c>
    </row>
    <row r="17" spans="1:6" x14ac:dyDescent="0.25">
      <c r="A17" s="6" t="s">
        <v>19</v>
      </c>
      <c r="B17" s="4">
        <v>181.65625099999997</v>
      </c>
      <c r="C17" s="4">
        <v>23.887500062499999</v>
      </c>
      <c r="D17" s="4">
        <v>53.624999250000009</v>
      </c>
      <c r="E17" s="4">
        <v>164.36562443749997</v>
      </c>
      <c r="F17" s="4">
        <v>55.400624749999999</v>
      </c>
    </row>
    <row r="18" spans="1:6" x14ac:dyDescent="0.25">
      <c r="A18" s="5" t="s">
        <v>12</v>
      </c>
      <c r="B18" s="4">
        <v>188.1237203199999</v>
      </c>
      <c r="C18" s="4">
        <v>19.582199967999998</v>
      </c>
      <c r="D18" s="4">
        <v>49.78927998799999</v>
      </c>
      <c r="E18" s="4">
        <v>214.01167975199996</v>
      </c>
      <c r="F18" s="4">
        <v>59.089599880000002</v>
      </c>
    </row>
  </sheetData>
  <mergeCells count="1">
    <mergeCell ref="A1:F1"/>
  </mergeCell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7"/>
  <sheetViews>
    <sheetView workbookViewId="0">
      <selection activeCell="A3" sqref="A3"/>
    </sheetView>
  </sheetViews>
  <sheetFormatPr defaultRowHeight="15" x14ac:dyDescent="0.25"/>
  <cols>
    <col min="1" max="1" width="28.28515625" style="1" customWidth="1"/>
    <col min="3" max="3" width="20.7109375" customWidth="1"/>
  </cols>
  <sheetData>
    <row r="1" spans="1:1" ht="26.25" customHeight="1" x14ac:dyDescent="0.25"/>
    <row r="2" spans="1:1" x14ac:dyDescent="0.25">
      <c r="A2" s="1" t="s">
        <v>74</v>
      </c>
    </row>
    <row r="3" spans="1:1" x14ac:dyDescent="0.25">
      <c r="A3" s="1" t="s">
        <v>56</v>
      </c>
    </row>
    <row r="4" spans="1:1" x14ac:dyDescent="0.25">
      <c r="A4" s="1" t="s">
        <v>58</v>
      </c>
    </row>
    <row r="5" spans="1:1" x14ac:dyDescent="0.25">
      <c r="A5" s="1" t="s">
        <v>59</v>
      </c>
    </row>
    <row r="6" spans="1:1" x14ac:dyDescent="0.25">
      <c r="A6" s="1" t="s">
        <v>60</v>
      </c>
    </row>
    <row r="7" spans="1:1" x14ac:dyDescent="0.25">
      <c r="A7" s="1" t="s">
        <v>61</v>
      </c>
    </row>
  </sheetData>
  <sortState ref="A2:A6">
    <sortCondition ref="A1"/>
  </sortState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UpdateLists">
                <anchor moveWithCells="1" sizeWithCells="1">
                  <from>
                    <xdr:col>0</xdr:col>
                    <xdr:colOff>247650</xdr:colOff>
                    <xdr:row>0</xdr:row>
                    <xdr:rowOff>47625</xdr:rowOff>
                  </from>
                  <to>
                    <xdr:col>0</xdr:col>
                    <xdr:colOff>1609725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8"/>
  <sheetViews>
    <sheetView topLeftCell="B1" workbookViewId="0">
      <selection activeCell="I2" sqref="I2"/>
    </sheetView>
  </sheetViews>
  <sheetFormatPr defaultRowHeight="15" x14ac:dyDescent="0.25"/>
  <cols>
    <col min="1" max="1" width="17.140625" customWidth="1"/>
    <col min="2" max="2" width="16" customWidth="1"/>
    <col min="3" max="3" width="17" customWidth="1"/>
    <col min="4" max="4" width="14.7109375" customWidth="1"/>
    <col min="5" max="5" width="18.5703125" customWidth="1"/>
    <col min="6" max="6" width="16.7109375" customWidth="1"/>
    <col min="7" max="7" width="13.5703125" customWidth="1"/>
    <col min="9" max="9" width="23.42578125" customWidth="1"/>
  </cols>
  <sheetData>
    <row r="1" spans="1:9" ht="15.75" thickBot="1" x14ac:dyDescent="0.3">
      <c r="A1" s="1" t="s">
        <v>5</v>
      </c>
      <c r="B1" s="1" t="s">
        <v>6</v>
      </c>
      <c r="C1" s="1" t="s">
        <v>7</v>
      </c>
      <c r="D1" s="1" t="s">
        <v>8</v>
      </c>
      <c r="E1" s="1" t="s">
        <v>26</v>
      </c>
      <c r="F1" s="1" t="s">
        <v>49</v>
      </c>
      <c r="G1" s="1" t="s">
        <v>53</v>
      </c>
      <c r="I1" s="38" t="s">
        <v>75</v>
      </c>
    </row>
    <row r="2" spans="1:9" ht="15.75" thickTop="1" x14ac:dyDescent="0.25">
      <c r="A2" s="1" t="str">
        <f>Company1</f>
        <v>AAPL</v>
      </c>
      <c r="B2" s="2">
        <f ca="1">INDIRECT(MyPortfolio[[#This Row],[Company Name]] &amp; "!$B$5")</f>
        <v>168.070007</v>
      </c>
      <c r="C2" s="2">
        <f ca="1">INDIRECT(MyPortfolio[[#This Row],[Company Name]] &amp; "!$E$254")</f>
        <v>191.050003</v>
      </c>
      <c r="D2" s="7">
        <v>235</v>
      </c>
      <c r="E2" s="2">
        <f ca="1">MyPortfolio[[#This Row],[Purchase Price]]*MyPortfolio[[#This Row],['# of Shares]]</f>
        <v>39496.451645000001</v>
      </c>
      <c r="F2" s="2">
        <f ca="1">(MyPortfolio[[#This Row],[Sell Price]]-MyPortfolio[[#This Row],[Purchase Price]])*MyPortfolio[[#This Row],['# of Shares]]</f>
        <v>5400.2990600000003</v>
      </c>
      <c r="G2" s="3">
        <f ca="1">(MyPortfolio[[#This Row],[Sell Price]]-MyPortfolio[[#This Row],[Purchase Price]])/MyPortfolio[[#This Row],[Purchase Price]]</f>
        <v>0.1367287144814601</v>
      </c>
      <c r="I2" s="39" t="s">
        <v>56</v>
      </c>
    </row>
    <row r="3" spans="1:9" x14ac:dyDescent="0.25">
      <c r="A3" s="1" t="str">
        <f>Company2</f>
        <v>AMD</v>
      </c>
      <c r="B3" s="2">
        <f ca="1">INDIRECT(MyPortfolio[[#This Row],[Company Name]] &amp; "!$B$5")</f>
        <v>10.71</v>
      </c>
      <c r="C3" s="2">
        <f ca="1">INDIRECT(MyPortfolio[[#This Row],[Company Name]] &amp; "!$E$254")</f>
        <v>26.370000999999998</v>
      </c>
      <c r="D3" s="7">
        <v>514</v>
      </c>
      <c r="E3" s="2">
        <f ca="1">MyPortfolio[[#This Row],[Purchase Price]]*MyPortfolio[[#This Row],['# of Shares]]</f>
        <v>5504.9400000000005</v>
      </c>
      <c r="F3" s="2">
        <f ca="1">(MyPortfolio[[#This Row],[Sell Price]]-MyPortfolio[[#This Row],[Purchase Price]])*MyPortfolio[[#This Row],['# of Shares]]</f>
        <v>8049.2405139999992</v>
      </c>
      <c r="G3" s="3">
        <f ca="1">(MyPortfolio[[#This Row],[Sell Price]]-MyPortfolio[[#This Row],[Purchase Price]])/MyPortfolio[[#This Row],[Purchase Price]]</f>
        <v>1.4621849673202612</v>
      </c>
    </row>
    <row r="4" spans="1:9" x14ac:dyDescent="0.25">
      <c r="A4" s="1" t="str">
        <f>Company3</f>
        <v>INTC</v>
      </c>
      <c r="B4" s="2">
        <f ca="1">INDIRECT(MyPortfolio[[#This Row],[Company Name]] &amp; "!$B$5")</f>
        <v>50.740001999999997</v>
      </c>
      <c r="C4" s="2">
        <f ca="1">INDIRECT(MyPortfolio[[#This Row],[Company Name]] &amp; "!$E$254")</f>
        <v>53.259998000000003</v>
      </c>
      <c r="D4" s="7">
        <v>236</v>
      </c>
      <c r="E4" s="2">
        <f ca="1">MyPortfolio[[#This Row],[Purchase Price]]*MyPortfolio[[#This Row],['# of Shares]]</f>
        <v>11974.640471999999</v>
      </c>
      <c r="F4" s="2">
        <f ca="1">(MyPortfolio[[#This Row],[Sell Price]]-MyPortfolio[[#This Row],[Purchase Price]])*MyPortfolio[[#This Row],['# of Shares]]</f>
        <v>594.7190560000015</v>
      </c>
      <c r="G4" s="3">
        <f ca="1">(MyPortfolio[[#This Row],[Sell Price]]-MyPortfolio[[#This Row],[Purchase Price]])/MyPortfolio[[#This Row],[Purchase Price]]</f>
        <v>4.9664877821644672E-2</v>
      </c>
    </row>
    <row r="5" spans="1:9" x14ac:dyDescent="0.25">
      <c r="A5" s="1" t="str">
        <f>Company4</f>
        <v>NVDA</v>
      </c>
      <c r="B5" s="2">
        <f ca="1">INDIRECT(MyPortfolio[[#This Row],[Company Name]] &amp; "!$B$5")</f>
        <v>238</v>
      </c>
      <c r="C5" s="2">
        <f ca="1">INDIRECT(MyPortfolio[[#This Row],[Company Name]] &amp; "!$E$254")</f>
        <v>177.5</v>
      </c>
      <c r="D5" s="7">
        <v>150</v>
      </c>
      <c r="E5" s="2">
        <f ca="1">MyPortfolio[[#This Row],[Purchase Price]]*MyPortfolio[[#This Row],['# of Shares]]</f>
        <v>35700</v>
      </c>
      <c r="F5" s="2">
        <f ca="1">(MyPortfolio[[#This Row],[Sell Price]]-MyPortfolio[[#This Row],[Purchase Price]])*MyPortfolio[[#This Row],['# of Shares]]</f>
        <v>-9075</v>
      </c>
      <c r="G5" s="3">
        <f ca="1">(MyPortfolio[[#This Row],[Sell Price]]-MyPortfolio[[#This Row],[Purchase Price]])/MyPortfolio[[#This Row],[Purchase Price]]</f>
        <v>-0.25420168067226889</v>
      </c>
    </row>
    <row r="6" spans="1:9" x14ac:dyDescent="0.25">
      <c r="A6" s="1" t="str">
        <f>Company5</f>
        <v>QCOM</v>
      </c>
      <c r="B6" s="2">
        <f ca="1">INDIRECT(MyPortfolio[[#This Row],[Company Name]] &amp; "!$B$5")</f>
        <v>54.580002</v>
      </c>
      <c r="C6" s="2">
        <f ca="1">INDIRECT(MyPortfolio[[#This Row],[Company Name]] &amp; "!$E$254")</f>
        <v>56.82</v>
      </c>
      <c r="D6" s="7">
        <v>134</v>
      </c>
      <c r="E6" s="2">
        <f ca="1">MyPortfolio[[#This Row],[Purchase Price]]*MyPortfolio[[#This Row],['# of Shares]]</f>
        <v>7313.720268</v>
      </c>
      <c r="F6" s="2">
        <f ca="1">(MyPortfolio[[#This Row],[Sell Price]]-MyPortfolio[[#This Row],[Purchase Price]])*MyPortfolio[[#This Row],['# of Shares]]</f>
        <v>300.15973199999996</v>
      </c>
      <c r="G6" s="3">
        <f ca="1">(MyPortfolio[[#This Row],[Sell Price]]-MyPortfolio[[#This Row],[Purchase Price]])/MyPortfolio[[#This Row],[Purchase Price]]</f>
        <v>4.1040636092318207E-2</v>
      </c>
    </row>
    <row r="8" spans="1:9" ht="15.75" thickBot="1" x14ac:dyDescent="0.3">
      <c r="A8" s="51" t="s">
        <v>55</v>
      </c>
      <c r="B8" s="51"/>
      <c r="C8" s="51"/>
      <c r="D8" s="52"/>
      <c r="E8" s="1" t="s">
        <v>50</v>
      </c>
      <c r="F8" s="1" t="s">
        <v>27</v>
      </c>
      <c r="G8" s="1" t="s">
        <v>54</v>
      </c>
    </row>
    <row r="9" spans="1:9" ht="15.75" thickBot="1" x14ac:dyDescent="0.3">
      <c r="A9" s="53" t="s">
        <v>27</v>
      </c>
      <c r="B9" s="53"/>
      <c r="C9" s="53" t="s">
        <v>54</v>
      </c>
      <c r="D9" s="53"/>
      <c r="E9" s="2">
        <f ca="1">SUM(MyPortfolio[Initial $ Invested])</f>
        <v>99989.752385</v>
      </c>
      <c r="F9" s="2">
        <f ca="1">SUM(MyPortfolio[Profit (Loss)])</f>
        <v>5269.4183620000003</v>
      </c>
      <c r="G9" s="3">
        <f ca="1">Analysis[Total Profit (Loss)]/Analysis[Total $ Invested]</f>
        <v>5.2699584070482149E-2</v>
      </c>
    </row>
    <row r="10" spans="1:9" ht="33" customHeight="1" thickBot="1" x14ac:dyDescent="0.3">
      <c r="A10" s="23" t="s">
        <v>51</v>
      </c>
      <c r="B10" s="23" t="s">
        <v>52</v>
      </c>
      <c r="C10" s="23" t="s">
        <v>51</v>
      </c>
      <c r="D10" s="23" t="s">
        <v>52</v>
      </c>
    </row>
    <row r="11" spans="1:9" x14ac:dyDescent="0.25">
      <c r="A11" s="21">
        <f ca="1">MAX($F$9)</f>
        <v>5269.4183620000003</v>
      </c>
      <c r="B11" s="21">
        <f ca="1">MAX($F$9)</f>
        <v>5269.4183620000003</v>
      </c>
      <c r="C11" s="22">
        <f ca="1">MAX($G$9)</f>
        <v>5.2699584070482149E-2</v>
      </c>
      <c r="D11" s="22">
        <f ca="1">MAX($G$9)</f>
        <v>5.2699584070482149E-2</v>
      </c>
    </row>
    <row r="12" spans="1:9" x14ac:dyDescent="0.25">
      <c r="A12" s="19">
        <f>COUNT($D$2:$D$6)</f>
        <v>5</v>
      </c>
      <c r="B12" s="19">
        <f>COUNT($D$2:$D$6)</f>
        <v>5</v>
      </c>
      <c r="C12" s="19">
        <f>COUNT($D$2:$D$6)</f>
        <v>5</v>
      </c>
      <c r="D12" s="19">
        <f>COUNT($D$2:$D$6)</f>
        <v>5</v>
      </c>
    </row>
    <row r="13" spans="1:9" ht="14.25" customHeight="1" x14ac:dyDescent="0.25">
      <c r="A13" s="20" t="b">
        <f t="array" ref="A13">$D$2:$D$6=INT($D$2:$D$6)</f>
        <v>1</v>
      </c>
      <c r="B13" s="20" t="b">
        <f t="array" ref="B13">$D$2:$D$6&lt;=1000</f>
        <v>1</v>
      </c>
      <c r="C13" s="20" t="b">
        <f t="array" ref="C13">$D$2:$D$6=INT($D$2:$D$6)</f>
        <v>1</v>
      </c>
      <c r="D13" s="20" t="b">
        <f t="array" ref="D13">$D$2:$D$6&lt;=1000</f>
        <v>1</v>
      </c>
    </row>
    <row r="14" spans="1:9" x14ac:dyDescent="0.25">
      <c r="A14" s="19" t="b">
        <f t="array" ref="A14">$D$2:$D$6&gt;=50</f>
        <v>1</v>
      </c>
      <c r="B14" s="19" t="b">
        <f t="array" ref="B14">$D$2:$D$6=INT($D$2:$D$6)</f>
        <v>1</v>
      </c>
      <c r="C14" s="19" t="b">
        <f t="array" aca="1" ref="C14" ca="1">$E$2:$E$6&lt;=30000</f>
        <v>0</v>
      </c>
      <c r="D14" s="19" t="b">
        <f t="array" ref="D14">$D$2:$D$6=INT($D$2:$D$6)</f>
        <v>1</v>
      </c>
    </row>
    <row r="15" spans="1:9" x14ac:dyDescent="0.25">
      <c r="A15" s="20" t="b">
        <f t="array" aca="1" ref="A15" ca="1">$E$2:$E$6&lt;=30000</f>
        <v>0</v>
      </c>
      <c r="B15" s="20" t="b">
        <f t="array" ref="B15">$D$2:$D$6&gt;=50</f>
        <v>1</v>
      </c>
      <c r="C15" s="20" t="b">
        <f ca="1">$E$9&lt;=100000</f>
        <v>1</v>
      </c>
      <c r="D15" s="20" t="b">
        <f ca="1">$E$9&lt;=100000</f>
        <v>1</v>
      </c>
    </row>
    <row r="16" spans="1:9" x14ac:dyDescent="0.25">
      <c r="A16" s="19" t="b">
        <f ca="1">$E$9&lt;=100000</f>
        <v>1</v>
      </c>
      <c r="B16" s="19" t="b">
        <f ca="1">$E$9&lt;=100000</f>
        <v>1</v>
      </c>
      <c r="C16" s="19" t="b">
        <f t="array" ref="C16">$D$2:$D$6&gt;=50</f>
        <v>1</v>
      </c>
      <c r="D16" s="19" t="b">
        <f t="array" ref="D16">$D$2:$D$6&gt;=50</f>
        <v>1</v>
      </c>
    </row>
    <row r="17" spans="1:4" x14ac:dyDescent="0.25">
      <c r="A17" s="20">
        <f>{32767,32767,0.000001,0.01,FALSE,FALSE,TRUE,1,1,1,0.0001,TRUE}</f>
        <v>32767</v>
      </c>
      <c r="B17" s="20">
        <f>{32767,32767,0.000001,0.01,FALSE,FALSE,TRUE,1,1,1,0.0001,TRUE}</f>
        <v>32767</v>
      </c>
      <c r="C17" s="20">
        <f>{32767,32767,0.000001,0.01,FALSE,FALSE,TRUE,1,1,1,0.0001,TRUE}</f>
        <v>32767</v>
      </c>
      <c r="D17" s="20">
        <f>{32767,32767,0.000001,0.01,FALSE,FALSE,TRUE,1,1,1,0.0001,TRUE}</f>
        <v>32767</v>
      </c>
    </row>
    <row r="18" spans="1:4" x14ac:dyDescent="0.25">
      <c r="A18" s="19">
        <f>{0,0,1,100,0,FALSE,TRUE,0.075,0,0,FALSE,30}</f>
        <v>0</v>
      </c>
      <c r="B18" s="19">
        <f>{0,0,1,100,0,FALSE,TRUE,0.075,0,0,FALSE,30}</f>
        <v>0</v>
      </c>
      <c r="C18" s="19">
        <f>{0,0,1,100,0,FALSE,TRUE,0.075,0,0,FALSE,30}</f>
        <v>0</v>
      </c>
      <c r="D18" s="19">
        <f>{0,0,1,100,0,FALSE,TRUE,0.075,0,0,FALSE,30}</f>
        <v>0</v>
      </c>
    </row>
  </sheetData>
  <scenarios current="0" show="0" sqref="E9 F9 G9">
    <scenario name="Manual Distribution" locked="1" count="5" user="Author" comment="Created by Author on 4/7/2019">
      <inputCells r="D2" val="235" numFmtId="1"/>
      <inputCells r="D3" val="514" numFmtId="1"/>
      <inputCells r="D4" val="236" numFmtId="1"/>
      <inputCells r="D5" val="150" numFmtId="1"/>
      <inputCells r="D6" val="134" numFmtId="1"/>
    </scenario>
    <scenario name="Profit - Intial $ Invested" count="5" user="Author" comment="Created by Author on 4/7/2019">
      <inputCells r="D2" val="178" numFmtId="1"/>
      <inputCells r="D3" val="2801" numFmtId="1"/>
      <inputCells r="D4" val="501" numFmtId="1"/>
      <inputCells r="D5" val="50" numFmtId="1"/>
      <inputCells r="D6" val="50" numFmtId="1"/>
    </scenario>
    <scenario name="Profit - # of Shares" count="5" user="Author" comment="Created by Author on 4/7/2019">
      <inputCells r="D2" val="429" numFmtId="1"/>
      <inputCells r="D3" val="1000" numFmtId="1"/>
      <inputCells r="D4" val="50" numFmtId="1"/>
      <inputCells r="D5" val="50" numFmtId="1"/>
      <inputCells r="D6" val="50" numFmtId="1"/>
    </scenario>
    <scenario name="ROI - Initial $ Invested" count="5" user="Author" comment="Created by Author on 4/7/2019">
      <inputCells r="D2" val="50" numFmtId="1"/>
      <inputCells r="D3" val="2801" numFmtId="1"/>
      <inputCells r="D4" val="50" numFmtId="1"/>
      <inputCells r="D5" val="50" numFmtId="1"/>
      <inputCells r="D6" val="50" numFmtId="1"/>
    </scenario>
    <scenario name="ROI - # of Shares" count="5" user="Author" comment="Created by Author on 4/7/2019">
      <inputCells r="D2" val="50" numFmtId="1"/>
      <inputCells r="D3" val="1000" numFmtId="1"/>
      <inputCells r="D4" val="50" numFmtId="1"/>
      <inputCells r="D5" val="50" numFmtId="1"/>
      <inputCells r="D6" val="50" numFmtId="1"/>
    </scenario>
  </scenarios>
  <mergeCells count="3">
    <mergeCell ref="A8:D8"/>
    <mergeCell ref="A9:B9"/>
    <mergeCell ref="C9:D9"/>
  </mergeCells>
  <conditionalFormatting sqref="F2:F6">
    <cfRule type="colorScale" priority="7">
      <colorScale>
        <cfvo type="min"/>
        <cfvo type="percentile" val="50"/>
        <cfvo type="max"/>
        <color rgb="FFFF3F3F"/>
        <color theme="4" tint="0.39997558519241921"/>
        <color rgb="FF59CF5F"/>
      </colorScale>
    </cfRule>
  </conditionalFormatting>
  <conditionalFormatting sqref="G2:G6">
    <cfRule type="colorScale" priority="6">
      <colorScale>
        <cfvo type="min"/>
        <cfvo type="percentile" val="50"/>
        <cfvo type="max"/>
        <color rgb="FFFF3F3F"/>
        <color theme="4" tint="0.39997558519241921"/>
        <color rgb="FF59CF5F"/>
      </colorScale>
    </cfRule>
  </conditionalFormatting>
  <conditionalFormatting sqref="G9 F9">
    <cfRule type="cellIs" dxfId="15" priority="3" operator="greaterThan">
      <formula>0</formula>
    </cfRule>
  </conditionalFormatting>
  <conditionalFormatting sqref="F9:G9">
    <cfRule type="cellIs" dxfId="14" priority="2" operator="lessThan">
      <formula>0</formula>
    </cfRule>
  </conditionalFormatting>
  <conditionalFormatting sqref="I2">
    <cfRule type="colorScale" priority="1">
      <colorScale>
        <cfvo type="min"/>
        <cfvo type="percentile" val="50"/>
        <cfvo type="max"/>
        <color rgb="FFFF3F3F"/>
        <color theme="4" tint="0.39997558519241921"/>
        <color rgb="FF59CF5F"/>
      </colorScale>
    </cfRule>
  </conditionalFormatting>
  <dataValidations count="1">
    <dataValidation type="list" allowBlank="1" showInputMessage="1" showErrorMessage="1" promptTitle="Select a Scenario" prompt="Select a Scenario" sqref="I2">
      <formula1>ScenariosList</formula1>
    </dataValidation>
  </dataValidations>
  <pageMargins left="0.7" right="0.7" top="0.75" bottom="0.75" header="0.3" footer="0.3"/>
  <pageSetup orientation="portrait" horizontalDpi="1200" verticalDpi="1200" r:id="rId1"/>
  <drawing r:id="rId2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outlinePr summaryBelow="0"/>
  </sheetPr>
  <dimension ref="B1:I17"/>
  <sheetViews>
    <sheetView showGridLines="0" workbookViewId="0">
      <selection activeCell="C14" sqref="C14"/>
    </sheetView>
  </sheetViews>
  <sheetFormatPr defaultRowHeight="15" outlineLevelRow="1" outlineLevelCol="1" x14ac:dyDescent="0.25"/>
  <cols>
    <col min="3" max="3" width="25.85546875" bestFit="1" customWidth="1"/>
    <col min="4" max="9" width="19.85546875" bestFit="1" customWidth="1" outlineLevel="1"/>
  </cols>
  <sheetData>
    <row r="1" spans="2:9" ht="15.75" thickBot="1" x14ac:dyDescent="0.3"/>
    <row r="2" spans="2:9" ht="15.75" x14ac:dyDescent="0.25">
      <c r="B2" s="29" t="s">
        <v>62</v>
      </c>
      <c r="C2" s="29"/>
      <c r="D2" s="34"/>
      <c r="E2" s="34"/>
      <c r="F2" s="34"/>
      <c r="G2" s="34"/>
      <c r="H2" s="34"/>
      <c r="I2" s="34"/>
    </row>
    <row r="3" spans="2:9" ht="15.75" collapsed="1" x14ac:dyDescent="0.25">
      <c r="B3" s="28"/>
      <c r="C3" s="28"/>
      <c r="D3" s="35" t="s">
        <v>64</v>
      </c>
      <c r="E3" s="35" t="s">
        <v>56</v>
      </c>
      <c r="F3" s="35" t="s">
        <v>58</v>
      </c>
      <c r="G3" s="35" t="s">
        <v>59</v>
      </c>
      <c r="H3" s="35" t="s">
        <v>60</v>
      </c>
      <c r="I3" s="35" t="s">
        <v>61</v>
      </c>
    </row>
    <row r="4" spans="2:9" ht="22.5" hidden="1" outlineLevel="1" x14ac:dyDescent="0.25">
      <c r="B4" s="31"/>
      <c r="C4" s="31"/>
      <c r="D4" s="24"/>
      <c r="E4" s="37" t="s">
        <v>57</v>
      </c>
      <c r="F4" s="37" t="s">
        <v>57</v>
      </c>
      <c r="G4" s="37" t="s">
        <v>57</v>
      </c>
      <c r="H4" s="37" t="s">
        <v>57</v>
      </c>
      <c r="I4" s="37" t="s">
        <v>57</v>
      </c>
    </row>
    <row r="5" spans="2:9" x14ac:dyDescent="0.25">
      <c r="B5" s="32" t="s">
        <v>63</v>
      </c>
      <c r="C5" s="32"/>
      <c r="D5" s="30"/>
      <c r="E5" s="30"/>
      <c r="F5" s="30"/>
      <c r="G5" s="30"/>
      <c r="H5" s="30"/>
      <c r="I5" s="30"/>
    </row>
    <row r="6" spans="2:9" outlineLevel="1" x14ac:dyDescent="0.25">
      <c r="B6" s="31"/>
      <c r="C6" s="31" t="s">
        <v>69</v>
      </c>
      <c r="D6" s="25">
        <v>235</v>
      </c>
      <c r="E6" s="36">
        <v>235</v>
      </c>
      <c r="F6" s="36">
        <v>178</v>
      </c>
      <c r="G6" s="36">
        <v>429</v>
      </c>
      <c r="H6" s="36">
        <v>50</v>
      </c>
      <c r="I6" s="36">
        <v>50</v>
      </c>
    </row>
    <row r="7" spans="2:9" outlineLevel="1" x14ac:dyDescent="0.25">
      <c r="B7" s="31"/>
      <c r="C7" s="31" t="s">
        <v>70</v>
      </c>
      <c r="D7" s="25">
        <v>514</v>
      </c>
      <c r="E7" s="36">
        <v>514</v>
      </c>
      <c r="F7" s="36">
        <v>2801</v>
      </c>
      <c r="G7" s="36">
        <v>1000</v>
      </c>
      <c r="H7" s="36">
        <v>2801</v>
      </c>
      <c r="I7" s="36">
        <v>1000</v>
      </c>
    </row>
    <row r="8" spans="2:9" outlineLevel="1" x14ac:dyDescent="0.25">
      <c r="B8" s="31"/>
      <c r="C8" s="31" t="s">
        <v>71</v>
      </c>
      <c r="D8" s="25">
        <v>236</v>
      </c>
      <c r="E8" s="36">
        <v>236</v>
      </c>
      <c r="F8" s="36">
        <v>501</v>
      </c>
      <c r="G8" s="36">
        <v>50</v>
      </c>
      <c r="H8" s="36">
        <v>50</v>
      </c>
      <c r="I8" s="36">
        <v>50</v>
      </c>
    </row>
    <row r="9" spans="2:9" outlineLevel="1" x14ac:dyDescent="0.25">
      <c r="B9" s="31"/>
      <c r="C9" s="31" t="s">
        <v>72</v>
      </c>
      <c r="D9" s="25">
        <v>150</v>
      </c>
      <c r="E9" s="36">
        <v>150</v>
      </c>
      <c r="F9" s="36">
        <v>50</v>
      </c>
      <c r="G9" s="36">
        <v>50</v>
      </c>
      <c r="H9" s="36">
        <v>50</v>
      </c>
      <c r="I9" s="36">
        <v>50</v>
      </c>
    </row>
    <row r="10" spans="2:9" outlineLevel="1" x14ac:dyDescent="0.25">
      <c r="B10" s="31"/>
      <c r="C10" s="31" t="s">
        <v>73</v>
      </c>
      <c r="D10" s="25">
        <v>134</v>
      </c>
      <c r="E10" s="36">
        <v>134</v>
      </c>
      <c r="F10" s="36">
        <v>50</v>
      </c>
      <c r="G10" s="36">
        <v>50</v>
      </c>
      <c r="H10" s="36">
        <v>50</v>
      </c>
      <c r="I10" s="36">
        <v>50</v>
      </c>
    </row>
    <row r="11" spans="2:9" x14ac:dyDescent="0.25">
      <c r="B11" s="32" t="s">
        <v>65</v>
      </c>
      <c r="C11" s="32"/>
      <c r="D11" s="30"/>
      <c r="E11" s="30"/>
      <c r="F11" s="30"/>
      <c r="G11" s="30"/>
      <c r="H11" s="30"/>
      <c r="I11" s="30"/>
    </row>
    <row r="12" spans="2:9" outlineLevel="1" x14ac:dyDescent="0.25">
      <c r="B12" s="31"/>
      <c r="C12" s="31" t="s">
        <v>50</v>
      </c>
      <c r="D12" s="26">
        <v>99989.752385</v>
      </c>
      <c r="E12" s="26">
        <v>99989.752385</v>
      </c>
      <c r="F12" s="26">
        <v>99964.912347999998</v>
      </c>
      <c r="G12" s="26">
        <v>99978.033202999999</v>
      </c>
      <c r="H12" s="26">
        <v>55568.210550000003</v>
      </c>
      <c r="I12" s="26">
        <v>36279.500549999997</v>
      </c>
    </row>
    <row r="13" spans="2:9" outlineLevel="1" x14ac:dyDescent="0.25">
      <c r="B13" s="31"/>
      <c r="C13" s="31" t="s">
        <v>27</v>
      </c>
      <c r="D13" s="26">
        <v>5269.4183620000003</v>
      </c>
      <c r="E13" s="26">
        <v>5269.4183620000003</v>
      </c>
      <c r="F13" s="26">
        <v>46303.619984999903</v>
      </c>
      <c r="G13" s="26">
        <v>22731.418984</v>
      </c>
      <c r="H13" s="26">
        <v>42225.662300999997</v>
      </c>
      <c r="I13" s="26">
        <v>14022.0005</v>
      </c>
    </row>
    <row r="14" spans="2:9" ht="15.75" outlineLevel="1" thickBot="1" x14ac:dyDescent="0.3">
      <c r="B14" s="33"/>
      <c r="C14" s="33" t="s">
        <v>54</v>
      </c>
      <c r="D14" s="27">
        <v>5.26995840704821E-2</v>
      </c>
      <c r="E14" s="27">
        <v>5.26995840704821E-2</v>
      </c>
      <c r="F14" s="27">
        <v>0.46319872540683898</v>
      </c>
      <c r="G14" s="27">
        <v>0.22736413445786699</v>
      </c>
      <c r="H14" s="27">
        <v>0.75988882641821898</v>
      </c>
      <c r="I14" s="27">
        <v>0.38649927059153</v>
      </c>
    </row>
    <row r="15" spans="2:9" x14ac:dyDescent="0.25">
      <c r="B15" t="s">
        <v>66</v>
      </c>
    </row>
    <row r="16" spans="2:9" x14ac:dyDescent="0.25">
      <c r="B16" t="s">
        <v>67</v>
      </c>
    </row>
    <row r="17" spans="2:2" x14ac:dyDescent="0.25">
      <c r="B17" t="s">
        <v>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13</vt:i4>
      </vt:variant>
    </vt:vector>
  </HeadingPairs>
  <TitlesOfParts>
    <vt:vector size="23" baseType="lpstr">
      <vt:lpstr>AAPL</vt:lpstr>
      <vt:lpstr>AMD</vt:lpstr>
      <vt:lpstr>INTC</vt:lpstr>
      <vt:lpstr>NVDA</vt:lpstr>
      <vt:lpstr>QCOM</vt:lpstr>
      <vt:lpstr>All Closings</vt:lpstr>
      <vt:lpstr>All Closings - Pivot</vt:lpstr>
      <vt:lpstr>Lists</vt:lpstr>
      <vt:lpstr>Portfolio Analysis</vt:lpstr>
      <vt:lpstr>Scenario Summary</vt:lpstr>
      <vt:lpstr>Company1</vt:lpstr>
      <vt:lpstr>Company1_Num_of_Shares</vt:lpstr>
      <vt:lpstr>Company2</vt:lpstr>
      <vt:lpstr>Company2_Num_of_Shares</vt:lpstr>
      <vt:lpstr>Company3</vt:lpstr>
      <vt:lpstr>Company3_Num_of_Shares</vt:lpstr>
      <vt:lpstr>Company4</vt:lpstr>
      <vt:lpstr>Company4_Num_of_Shares</vt:lpstr>
      <vt:lpstr>Company5</vt:lpstr>
      <vt:lpstr>Company5_Num_of_Shares</vt:lpstr>
      <vt:lpstr>Total_Invested</vt:lpstr>
      <vt:lpstr>Total_Profit</vt:lpstr>
      <vt:lpstr>Total_ROI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Mohamed</cp:lastModifiedBy>
  <dcterms:created xsi:type="dcterms:W3CDTF">2015-06-05T18:17:20Z</dcterms:created>
  <dcterms:modified xsi:type="dcterms:W3CDTF">2019-05-20T00:01:23Z</dcterms:modified>
</cp:coreProperties>
</file>